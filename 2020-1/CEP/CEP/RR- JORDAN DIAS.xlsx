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EP\"/>
    </mc:Choice>
  </mc:AlternateContent>
  <xr:revisionPtr revIDLastSave="0" documentId="8_{41B7D2A7-DC13-4457-BCDA-4507811716E8}" xr6:coauthVersionLast="45" xr6:coauthVersionMax="45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Formulário RR" sheetId="2" r:id="rId1"/>
    <sheet name="Exercício RR" sheetId="7" r:id="rId2"/>
  </sheets>
  <definedNames>
    <definedName name="_xlnm.Print_Area" localSheetId="0">'Formulário RR'!$A$1:$L$38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3" i="7" l="1"/>
  <c r="L29" i="7"/>
  <c r="M29" i="7"/>
  <c r="M26" i="7"/>
  <c r="M25" i="7"/>
  <c r="M24" i="7"/>
  <c r="D25" i="7"/>
  <c r="M23" i="7"/>
  <c r="L23" i="7"/>
  <c r="D23" i="7"/>
  <c r="L19" i="7"/>
  <c r="H19" i="7"/>
  <c r="D19" i="7"/>
  <c r="L16" i="7"/>
  <c r="H16" i="7"/>
  <c r="K18" i="7"/>
  <c r="L18" i="7"/>
  <c r="J18" i="7"/>
  <c r="G18" i="7"/>
  <c r="H18" i="7"/>
  <c r="F18" i="7"/>
  <c r="D18" i="7" l="1"/>
  <c r="D16" i="7"/>
  <c r="C18" i="7"/>
  <c r="B18" i="7"/>
  <c r="L7" i="7"/>
  <c r="L8" i="7"/>
  <c r="L9" i="7"/>
  <c r="L10" i="7"/>
  <c r="L11" i="7"/>
  <c r="L12" i="7"/>
  <c r="L13" i="7"/>
  <c r="L14" i="7"/>
  <c r="L15" i="7"/>
  <c r="L6" i="7"/>
  <c r="H7" i="7"/>
  <c r="H8" i="7"/>
  <c r="H9" i="7"/>
  <c r="H10" i="7"/>
  <c r="H11" i="7"/>
  <c r="H12" i="7"/>
  <c r="H13" i="7"/>
  <c r="H14" i="7"/>
  <c r="H15" i="7"/>
  <c r="H6" i="7"/>
  <c r="D7" i="7"/>
  <c r="D8" i="7"/>
  <c r="D9" i="7"/>
  <c r="D10" i="7"/>
  <c r="D11" i="7"/>
  <c r="D12" i="7"/>
  <c r="D13" i="7"/>
  <c r="D14" i="7"/>
  <c r="D15" i="7"/>
  <c r="D6" i="7"/>
  <c r="K16" i="7" l="1"/>
  <c r="J16" i="7"/>
  <c r="G16" i="7"/>
  <c r="F16" i="7"/>
  <c r="C16" i="7"/>
  <c r="B16" i="7"/>
  <c r="L19" i="2" l="1"/>
  <c r="H19" i="2"/>
  <c r="L18" i="2"/>
  <c r="K18" i="2"/>
  <c r="J18" i="2"/>
  <c r="L17" i="2"/>
  <c r="K16" i="2"/>
  <c r="J16" i="2"/>
  <c r="L7" i="2"/>
  <c r="L8" i="2"/>
  <c r="L9" i="2"/>
  <c r="L10" i="2"/>
  <c r="L11" i="2"/>
  <c r="L12" i="2"/>
  <c r="L13" i="2"/>
  <c r="L14" i="2"/>
  <c r="L15" i="2"/>
  <c r="L6" i="2"/>
  <c r="H18" i="2"/>
  <c r="G18" i="2"/>
  <c r="F18" i="2"/>
  <c r="H16" i="2"/>
  <c r="G16" i="2"/>
  <c r="F16" i="2"/>
  <c r="H7" i="2"/>
  <c r="H8" i="2"/>
  <c r="H9" i="2"/>
  <c r="H10" i="2"/>
  <c r="H11" i="2"/>
  <c r="H12" i="2"/>
  <c r="H13" i="2"/>
  <c r="H14" i="2"/>
  <c r="H15" i="2"/>
  <c r="H6" i="2"/>
  <c r="D18" i="2"/>
  <c r="D16" i="2"/>
  <c r="D7" i="2"/>
  <c r="D8" i="2"/>
  <c r="D9" i="2"/>
  <c r="D10" i="2"/>
  <c r="D11" i="2"/>
  <c r="D12" i="2"/>
  <c r="D13" i="2"/>
  <c r="D14" i="2"/>
  <c r="D15" i="2"/>
  <c r="D6" i="2"/>
  <c r="D19" i="2"/>
  <c r="C18" i="2"/>
  <c r="B18" i="2"/>
  <c r="C16" i="2"/>
  <c r="B16" i="2"/>
  <c r="M33" i="7" l="1"/>
  <c r="M30" i="7" l="1"/>
</calcChain>
</file>

<file path=xl/sharedStrings.xml><?xml version="1.0" encoding="utf-8"?>
<sst xmlns="http://schemas.openxmlformats.org/spreadsheetml/2006/main" count="99" uniqueCount="41">
  <si>
    <t>Característica: LARGURA</t>
  </si>
  <si>
    <t>Equipamento: PAQUÍMETRO</t>
  </si>
  <si>
    <t>FABRICA: IFES</t>
  </si>
  <si>
    <t>A</t>
  </si>
  <si>
    <t>Nome:</t>
  </si>
  <si>
    <t>Primeira Leitura</t>
  </si>
  <si>
    <t>Segunda Leitura</t>
  </si>
  <si>
    <t>Diferença (R_)</t>
  </si>
  <si>
    <t>Soma</t>
  </si>
  <si>
    <t>MÉDIA</t>
  </si>
  <si>
    <t>B</t>
  </si>
  <si>
    <t>C</t>
  </si>
  <si>
    <t>Área: TREINAMENTO</t>
  </si>
  <si>
    <t>Produto: Suporte</t>
  </si>
  <si>
    <r>
      <t xml:space="preserve">Tolerância: </t>
    </r>
    <r>
      <rPr>
        <sz val="11"/>
        <color theme="1"/>
        <rFont val="Calibri"/>
        <family val="2"/>
      </rPr>
      <t>± 5,0 (10,0)</t>
    </r>
  </si>
  <si>
    <t>D</t>
  </si>
  <si>
    <t>E</t>
  </si>
  <si>
    <t>F</t>
  </si>
  <si>
    <t>G</t>
  </si>
  <si>
    <t>H</t>
  </si>
  <si>
    <t>I</t>
  </si>
  <si>
    <t>CRITÉRIO</t>
  </si>
  <si>
    <t>CAPAZ</t>
  </si>
  <si>
    <t>Carlos</t>
  </si>
  <si>
    <t>João</t>
  </si>
  <si>
    <t>Paulo</t>
  </si>
  <si>
    <r>
      <t xml:space="preserve">Tolerância: </t>
    </r>
    <r>
      <rPr>
        <b/>
        <sz val="11"/>
        <color theme="1"/>
        <rFont val="Calibri"/>
        <family val="2"/>
      </rPr>
      <t>± 5,0 (10,0)</t>
    </r>
  </si>
  <si>
    <t>.=</t>
  </si>
  <si>
    <t xml:space="preserve">                -</t>
  </si>
  <si>
    <t>n=Nº de itens analisados.</t>
  </si>
  <si>
    <t>b= Nº de vezes que cada item é medido pelo mesmo operador, Instrumento ou método.</t>
  </si>
  <si>
    <t xml:space="preserve">10% &lt; RR &lt; 30% </t>
  </si>
  <si>
    <t>PODE SER ACEITO</t>
  </si>
  <si>
    <t xml:space="preserve">RR &gt; 30% </t>
  </si>
  <si>
    <t>INACEITAVEL</t>
  </si>
  <si>
    <t>RR ≤  10 %</t>
  </si>
  <si>
    <t>x</t>
  </si>
  <si>
    <t>AGRIPINO</t>
  </si>
  <si>
    <t>AGRINALDO</t>
  </si>
  <si>
    <t>AGRINEL</t>
  </si>
  <si>
    <t>INACEITÁVEL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</si>
</sst>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0_-;\-* #,##0.000_-;_-* &quot;-&quot;??_-;_-@_-"/>
    <numFmt numFmtId="165" formatCode="#,##0.00_ ;\-#,##0.00\ "/>
    <numFmt numFmtId="166" formatCode="0.00;[Red]0.00"/>
    <numFmt numFmtId="167" formatCode="0.0000"/>
    <numFmt numFmtId="168" formatCode="0.000"/>
    <numFmt numFmtId="170" formatCode="#,##0.0000_ ;\-#,##0.0000\ "/>
    <numFmt numFmtId="171" formatCode="_-* #,##0.00000_-;\-* #,##0.00000_-;_-* &quot;-&quot;??_-;_-@_-"/>
    <numFmt numFmtId="172" formatCode="0.00000"/>
    <numFmt numFmtId="173" formatCode="0.0000000"/>
    <numFmt numFmtId="174" formatCode="0.00000000"/>
    <numFmt numFmtId="175" formatCode="0.0000%"/>
    <numFmt numFmtId="186" formatCode="_-* #,##0.0000000000_-;\-* #,##0.000000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name val="Georgia"/>
      <family val="1"/>
    </font>
    <font>
      <sz val="12"/>
      <color theme="1"/>
      <name val="Calibri"/>
      <family val="2"/>
    </font>
    <font>
      <b/>
      <sz val="11"/>
      <name val="Georgia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8"/>
      <color rgb="FF002060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justify"/>
    </xf>
    <xf numFmtId="43" fontId="0" fillId="0" borderId="1" xfId="1" applyFont="1" applyBorder="1" applyAlignment="1">
      <alignment horizontal="center" vertical="justify"/>
    </xf>
    <xf numFmtId="43" fontId="0" fillId="0" borderId="1" xfId="1" applyFont="1" applyBorder="1"/>
    <xf numFmtId="43" fontId="0" fillId="0" borderId="1" xfId="0" applyNumberFormat="1" applyBorder="1"/>
    <xf numFmtId="0" fontId="0" fillId="0" borderId="7" xfId="0" applyBorder="1"/>
    <xf numFmtId="0" fontId="0" fillId="0" borderId="6" xfId="0" applyBorder="1" applyAlignment="1">
      <alignment horizontal="center"/>
    </xf>
    <xf numFmtId="43" fontId="0" fillId="0" borderId="7" xfId="1" applyNumberFormat="1" applyFont="1" applyBorder="1"/>
    <xf numFmtId="0" fontId="0" fillId="0" borderId="6" xfId="0" applyBorder="1"/>
    <xf numFmtId="0" fontId="0" fillId="0" borderId="14" xfId="0" applyBorder="1"/>
    <xf numFmtId="0" fontId="0" fillId="0" borderId="18" xfId="0" applyBorder="1"/>
    <xf numFmtId="0" fontId="0" fillId="0" borderId="9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0" fillId="0" borderId="23" xfId="0" applyBorder="1"/>
    <xf numFmtId="168" fontId="2" fillId="0" borderId="0" xfId="0" applyNumberFormat="1" applyFont="1" applyFill="1" applyBorder="1" applyAlignment="1"/>
    <xf numFmtId="168" fontId="2" fillId="0" borderId="20" xfId="0" applyNumberFormat="1" applyFont="1" applyFill="1" applyBorder="1" applyAlignment="1"/>
    <xf numFmtId="0" fontId="2" fillId="0" borderId="16" xfId="0" applyFont="1" applyBorder="1"/>
    <xf numFmtId="0" fontId="2" fillId="0" borderId="6" xfId="0" applyFont="1" applyBorder="1"/>
    <xf numFmtId="0" fontId="0" fillId="0" borderId="24" xfId="0" applyBorder="1"/>
    <xf numFmtId="0" fontId="0" fillId="0" borderId="27" xfId="0" applyBorder="1"/>
    <xf numFmtId="0" fontId="0" fillId="0" borderId="25" xfId="0" applyBorder="1"/>
    <xf numFmtId="0" fontId="0" fillId="0" borderId="10" xfId="0" applyBorder="1"/>
    <xf numFmtId="43" fontId="0" fillId="2" borderId="2" xfId="0" applyNumberFormat="1" applyFill="1" applyBorder="1"/>
    <xf numFmtId="43" fontId="0" fillId="2" borderId="17" xfId="0" applyNumberFormat="1" applyFill="1" applyBorder="1"/>
    <xf numFmtId="166" fontId="0" fillId="2" borderId="7" xfId="1" applyNumberFormat="1" applyFont="1" applyFill="1" applyBorder="1"/>
    <xf numFmtId="165" fontId="0" fillId="2" borderId="17" xfId="1" applyNumberFormat="1" applyFont="1" applyFill="1" applyBorder="1"/>
    <xf numFmtId="167" fontId="2" fillId="2" borderId="25" xfId="0" applyNumberFormat="1" applyFont="1" applyFill="1" applyBorder="1"/>
    <xf numFmtId="164" fontId="2" fillId="2" borderId="23" xfId="0" applyNumberFormat="1" applyFont="1" applyFill="1" applyBorder="1"/>
    <xf numFmtId="0" fontId="0" fillId="0" borderId="30" xfId="0" applyBorder="1" applyAlignment="1">
      <alignment horizontal="center"/>
    </xf>
    <xf numFmtId="43" fontId="0" fillId="0" borderId="22" xfId="0" applyNumberFormat="1" applyBorder="1"/>
    <xf numFmtId="43" fontId="0" fillId="0" borderId="22" xfId="1" applyFont="1" applyBorder="1"/>
    <xf numFmtId="0" fontId="0" fillId="0" borderId="1" xfId="0" applyFill="1" applyBorder="1"/>
    <xf numFmtId="0" fontId="3" fillId="0" borderId="8" xfId="0" applyFont="1" applyBorder="1" applyAlignment="1">
      <alignment horizontal="center"/>
    </xf>
    <xf numFmtId="0" fontId="6" fillId="0" borderId="10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7" fillId="0" borderId="10" xfId="0" applyFont="1" applyBorder="1"/>
    <xf numFmtId="0" fontId="8" fillId="0" borderId="10" xfId="0" applyFont="1" applyBorder="1"/>
    <xf numFmtId="0" fontId="9" fillId="0" borderId="10" xfId="0" applyFont="1" applyBorder="1"/>
    <xf numFmtId="164" fontId="2" fillId="0" borderId="16" xfId="0" applyNumberFormat="1" applyFont="1" applyBorder="1"/>
    <xf numFmtId="43" fontId="10" fillId="0" borderId="1" xfId="0" applyNumberFormat="1" applyFont="1" applyFill="1" applyBorder="1"/>
    <xf numFmtId="165" fontId="10" fillId="2" borderId="7" xfId="1" applyNumberFormat="1" applyFont="1" applyFill="1" applyBorder="1"/>
    <xf numFmtId="164" fontId="0" fillId="2" borderId="17" xfId="0" applyNumberFormat="1" applyFill="1" applyBorder="1"/>
    <xf numFmtId="166" fontId="0" fillId="0" borderId="7" xfId="0" applyNumberFormat="1" applyBorder="1"/>
    <xf numFmtId="168" fontId="11" fillId="2" borderId="13" xfId="0" applyNumberFormat="1" applyFont="1" applyFill="1" applyBorder="1" applyAlignment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right"/>
    </xf>
    <xf numFmtId="2" fontId="2" fillId="2" borderId="25" xfId="0" applyNumberFormat="1" applyFont="1" applyFill="1" applyBorder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43" fontId="2" fillId="2" borderId="20" xfId="0" applyNumberFormat="1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4" fontId="0" fillId="3" borderId="2" xfId="0" applyNumberFormat="1" applyFill="1" applyBorder="1"/>
    <xf numFmtId="0" fontId="2" fillId="4" borderId="14" xfId="0" applyFont="1" applyFill="1" applyBorder="1" applyAlignment="1">
      <alignment horizontal="center"/>
    </xf>
    <xf numFmtId="164" fontId="0" fillId="0" borderId="7" xfId="1" applyNumberFormat="1" applyFont="1" applyBorder="1"/>
    <xf numFmtId="170" fontId="0" fillId="5" borderId="31" xfId="1" applyNumberFormat="1" applyFont="1" applyFill="1" applyBorder="1"/>
    <xf numFmtId="168" fontId="2" fillId="6" borderId="20" xfId="0" applyNumberFormat="1" applyFont="1" applyFill="1" applyBorder="1" applyAlignment="1">
      <alignment horizontal="center" vertical="center"/>
    </xf>
    <xf numFmtId="168" fontId="2" fillId="6" borderId="13" xfId="0" applyNumberFormat="1" applyFont="1" applyFill="1" applyBorder="1" applyAlignment="1">
      <alignment horizontal="center" vertical="center"/>
    </xf>
    <xf numFmtId="172" fontId="2" fillId="6" borderId="13" xfId="0" applyNumberFormat="1" applyFont="1" applyFill="1" applyBorder="1" applyAlignment="1"/>
    <xf numFmtId="173" fontId="2" fillId="6" borderId="25" xfId="0" applyNumberFormat="1" applyFont="1" applyFill="1" applyBorder="1"/>
    <xf numFmtId="171" fontId="2" fillId="6" borderId="23" xfId="0" applyNumberFormat="1" applyFont="1" applyFill="1" applyBorder="1"/>
    <xf numFmtId="0" fontId="12" fillId="0" borderId="0" xfId="0" applyFont="1" applyFill="1"/>
    <xf numFmtId="174" fontId="12" fillId="0" borderId="0" xfId="0" applyNumberFormat="1" applyFont="1" applyFill="1"/>
    <xf numFmtId="175" fontId="13" fillId="0" borderId="0" xfId="2" applyNumberFormat="1" applyFont="1" applyFill="1"/>
    <xf numFmtId="186" fontId="2" fillId="6" borderId="23" xfId="0" applyNumberFormat="1" applyFont="1" applyFill="1" applyBorder="1"/>
    <xf numFmtId="0" fontId="3" fillId="8" borderId="8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5" fillId="0" borderId="10" xfId="0" applyFont="1" applyBorder="1"/>
    <xf numFmtId="0" fontId="16" fillId="0" borderId="10" xfId="0" applyFont="1" applyBorder="1"/>
    <xf numFmtId="0" fontId="2" fillId="0" borderId="33" xfId="0" applyFont="1" applyBorder="1"/>
    <xf numFmtId="0" fontId="2" fillId="0" borderId="10" xfId="0" applyFont="1" applyBorder="1"/>
    <xf numFmtId="0" fontId="2" fillId="0" borderId="32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wmf"/><Relationship Id="rId1" Type="http://schemas.openxmlformats.org/officeDocument/2006/relationships/image" Target="../media/image5.w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801688</xdr:colOff>
      <xdr:row>16</xdr:row>
      <xdr:rowOff>14286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801688" y="3117849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801688" y="3117849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657225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145732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2200275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4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/>
            <xdr:cNvSpPr txBox="1"/>
          </xdr:nvSpPr>
          <xdr:spPr>
            <a:xfrm>
              <a:off x="3552825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5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>
              <a:off x="4181475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̿_𝐵2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49149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̅_𝐵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>
              <a:off x="6267450" y="321468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9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9" name="CaixaDeTexto 8"/>
            <xdr:cNvSpPr txBox="1"/>
          </xdr:nvSpPr>
          <xdr:spPr>
            <a:xfrm>
              <a:off x="6896100" y="3228975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 ̿_𝐶2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7658100" y="3200400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 ̅_𝐶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95250</xdr:colOff>
      <xdr:row>19</xdr:row>
      <xdr:rowOff>19050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𝐴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.....</a:t>
              </a:r>
            </a:p>
          </xdr:txBody>
        </xdr:sp>
      </mc:Choice>
      <mc:Fallback xmlns="">
        <xdr:sp macro="" textlink="">
          <xdr:nvSpPr>
            <xdr:cNvPr id="11" name="CaixaDeTexto 10"/>
            <xdr:cNvSpPr txBox="1"/>
          </xdr:nvSpPr>
          <xdr:spPr>
            <a:xfrm>
              <a:off x="895350" y="393382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̿_𝐴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̅_𝐴1+ 𝑋 ̅_𝐴2)/2</a:t>
              </a:r>
              <a:r>
                <a:rPr lang="pt-BR" sz="1400"/>
                <a:t>= .....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𝐵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2" name="CaixaDeTexto 11"/>
            <xdr:cNvSpPr txBox="1"/>
          </xdr:nvSpPr>
          <xdr:spPr>
            <a:xfrm>
              <a:off x="3676650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̿_𝐵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̅_𝐵1+ 𝑋 ̅_𝐵2)/2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𝐶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3" name="CaixaDeTexto 12"/>
            <xdr:cNvSpPr txBox="1"/>
          </xdr:nvSpPr>
          <xdr:spPr>
            <a:xfrm>
              <a:off x="6391275" y="3914775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 ̿_𝐶</a:t>
              </a:r>
              <a:r>
                <a:rPr lang="pt-BR" sz="1400"/>
                <a:t>= </a:t>
              </a:r>
              <a:r>
                <a:rPr lang="pt-BR" sz="1400" i="0">
                  <a:latin typeface="Cambria Math"/>
                </a:rPr>
                <a:t>(</a:t>
              </a:r>
              <a:r>
                <a:rPr lang="pt-BR" sz="1400" b="0" i="0">
                  <a:latin typeface="Cambria Math"/>
                </a:rPr>
                <a:t>𝑋 ̅_𝐶1+ 𝑋 ̅_𝐶2)/2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171450</xdr:colOff>
          <xdr:row>20</xdr:row>
          <xdr:rowOff>38100</xdr:rowOff>
        </xdr:from>
        <xdr:to>
          <xdr:col>2</xdr:col>
          <xdr:colOff>66675</xdr:colOff>
          <xdr:row>22</xdr:row>
          <xdr:rowOff>95250</xdr:rowOff>
        </xdr:to>
        <xdr:sp macro="" textlink="">
          <xdr:nvSpPr>
            <xdr:cNvPr id="2049" name="Objeto 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47624</xdr:colOff>
      <xdr:row>20</xdr:row>
      <xdr:rowOff>23812</xdr:rowOff>
    </xdr:from>
    <xdr:ext cx="1552575" cy="3991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590674" y="4395787"/>
              <a:ext cx="15525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00" b="0" i="1">
                            <a:latin typeface="Cambria Math"/>
                          </a:rPr>
                          <m:t>(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..…..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…....</m:t>
                        </m:r>
                        <m:r>
                          <a:rPr lang="pt-BR" sz="1000" b="0" i="1"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chemeClr val="bg1"/>
                            </a:solidFill>
                            <a:latin typeface="Cambria Math"/>
                          </a:rPr>
                          <m:t>….….. </m:t>
                        </m:r>
                        <m:r>
                          <a:rPr lang="pt-BR" sz="1000" b="0" i="1">
                            <a:latin typeface="Cambria Math"/>
                          </a:rPr>
                          <m:t>)</m:t>
                        </m:r>
                      </m:num>
                      <m:den>
                        <m:r>
                          <a:rPr lang="pt-BR" sz="1000" b="0" i="1">
                            <a:latin typeface="Cambria Math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t-BR" sz="1000"/>
            </a:p>
          </xdr:txBody>
        </xdr:sp>
      </mc:Choice>
      <mc:Fallback xmlns="">
        <xdr:sp macro="" textlink="">
          <xdr:nvSpPr>
            <xdr:cNvPr id="15" name="CaixaDeTexto 14"/>
            <xdr:cNvSpPr txBox="1"/>
          </xdr:nvSpPr>
          <xdr:spPr>
            <a:xfrm>
              <a:off x="1590674" y="4395787"/>
              <a:ext cx="1552575" cy="3991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00" i="0">
                  <a:latin typeface="Cambria Math"/>
                </a:rPr>
                <a:t>(</a:t>
              </a:r>
              <a:r>
                <a:rPr lang="pt-BR" sz="1000" b="0" i="0">
                  <a:latin typeface="Cambria Math"/>
                </a:rPr>
                <a:t>(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..…..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…....</a:t>
              </a:r>
              <a:r>
                <a:rPr lang="pt-BR" sz="1000" b="0" i="0">
                  <a:latin typeface="Cambria Math"/>
                </a:rPr>
                <a:t>+</a:t>
              </a:r>
              <a:r>
                <a:rPr lang="pt-BR" sz="1000" b="0" i="0">
                  <a:solidFill>
                    <a:schemeClr val="bg1"/>
                  </a:solidFill>
                  <a:latin typeface="Cambria Math"/>
                </a:rPr>
                <a:t>….….. </a:t>
              </a:r>
              <a:r>
                <a:rPr lang="pt-BR" sz="1000" b="0" i="0">
                  <a:latin typeface="Cambria Math"/>
                </a:rPr>
                <a:t>))/3</a:t>
              </a:r>
              <a:endParaRPr lang="pt-BR" sz="10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20</xdr:row>
          <xdr:rowOff>9525</xdr:rowOff>
        </xdr:from>
        <xdr:to>
          <xdr:col>6</xdr:col>
          <xdr:colOff>485775</xdr:colOff>
          <xdr:row>23</xdr:row>
          <xdr:rowOff>66675</xdr:rowOff>
        </xdr:to>
        <xdr:sp macro="" textlink="">
          <xdr:nvSpPr>
            <xdr:cNvPr id="2050" name="Objeto 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57149</xdr:colOff>
      <xdr:row>20</xdr:row>
      <xdr:rowOff>61912</xdr:rowOff>
    </xdr:from>
    <xdr:ext cx="1628776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5172074" y="4433887"/>
              <a:ext cx="1628776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………..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7" name="CaixaDeTexto 16"/>
            <xdr:cNvSpPr txBox="1"/>
          </xdr:nvSpPr>
          <xdr:spPr>
            <a:xfrm>
              <a:off x="5172074" y="4433887"/>
              <a:ext cx="1628776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))^</a:t>
              </a:r>
              <a:r>
                <a:rPr lang="pt-BR" sz="1100" b="0" i="0">
                  <a:latin typeface="Cambria Math"/>
                </a:rPr>
                <a:t>2=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………..</a:t>
              </a:r>
              <a:endParaRPr lang="pt-BR" sz="11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23</xdr:row>
          <xdr:rowOff>171450</xdr:rowOff>
        </xdr:from>
        <xdr:to>
          <xdr:col>2</xdr:col>
          <xdr:colOff>514350</xdr:colOff>
          <xdr:row>25</xdr:row>
          <xdr:rowOff>114300</xdr:rowOff>
        </xdr:to>
        <xdr:sp macro="" textlink="">
          <xdr:nvSpPr>
            <xdr:cNvPr id="2051" name="Objeto 5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142875</xdr:colOff>
          <xdr:row>23</xdr:row>
          <xdr:rowOff>28575</xdr:rowOff>
        </xdr:from>
        <xdr:to>
          <xdr:col>7</xdr:col>
          <xdr:colOff>657225</xdr:colOff>
          <xdr:row>25</xdr:row>
          <xdr:rowOff>152400</xdr:rowOff>
        </xdr:to>
        <xdr:sp macro="" textlink="">
          <xdr:nvSpPr>
            <xdr:cNvPr id="2052" name="Objeto 2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548122</xdr:colOff>
      <xdr:row>23</xdr:row>
      <xdr:rowOff>47625</xdr:rowOff>
    </xdr:from>
    <xdr:ext cx="2305050" cy="3974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5648327" y="4991966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……....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chemeClr val="bg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……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latin typeface="Cambria Math"/>
                              </a:rPr>
                              <m:t>…………….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…….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0" name="CaixaDeTexto 19"/>
            <xdr:cNvSpPr txBox="1"/>
          </xdr:nvSpPr>
          <xdr:spPr>
            <a:xfrm>
              <a:off x="5648327" y="4991966"/>
              <a:ext cx="2305050" cy="3974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……....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2−((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…………….)/(…………….))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…….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</xdr:col>
      <xdr:colOff>9525</xdr:colOff>
      <xdr:row>25</xdr:row>
      <xdr:rowOff>171450</xdr:rowOff>
    </xdr:from>
    <xdr:to>
      <xdr:col>5</xdr:col>
      <xdr:colOff>266700</xdr:colOff>
      <xdr:row>29</xdr:row>
      <xdr:rowOff>28575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>
          <a:grpSpLocks/>
        </xdr:cNvGrpSpPr>
      </xdr:nvGrpSpPr>
      <xdr:grpSpPr bwMode="auto">
        <a:xfrm>
          <a:off x="809625" y="5495925"/>
          <a:ext cx="3381375" cy="676275"/>
          <a:chOff x="330624" y="3490913"/>
          <a:chExt cx="8054551" cy="1400175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0400" y="3490913"/>
            <a:ext cx="77247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CaixaDeTexto 14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624" y="3689985"/>
            <a:ext cx="1405719" cy="8058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20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4" name="CaixaDeTexto 1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860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5" name="CaixaDeTexto 20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7601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6</xdr:col>
      <xdr:colOff>447674</xdr:colOff>
      <xdr:row>26</xdr:row>
      <xdr:rowOff>157162</xdr:rowOff>
    </xdr:from>
    <xdr:ext cx="2721553" cy="6095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4941742" y="5733617"/>
              <a:ext cx="2721553" cy="609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pt-BR" sz="16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0,01…08</m:t>
                      </m:r>
                      <m:r>
                        <a:rPr lang="pt-BR" sz="1600" b="0" i="1">
                          <a:latin typeface="Cambria Math"/>
                        </a:rPr>
                        <m:t>−</m:t>
                      </m:r>
                      <m:r>
                        <a:rPr lang="pt-BR" sz="1600" b="0" i="1">
                          <a:solidFill>
                            <a:schemeClr val="bg1"/>
                          </a:solidFill>
                          <a:latin typeface="Cambria Math"/>
                        </a:rPr>
                        <m:t>0,0…..022</m:t>
                      </m:r>
                    </m:e>
                  </m:rad>
                </m:oMath>
              </a14:m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Choice>
      <mc:Fallback xmlns="">
        <xdr:sp macro="" textlink="">
          <xdr:nvSpPr>
            <xdr:cNvPr id="26" name="CaixaDeTexto 25"/>
            <xdr:cNvSpPr txBox="1"/>
          </xdr:nvSpPr>
          <xdr:spPr>
            <a:xfrm>
              <a:off x="4941742" y="5733617"/>
              <a:ext cx="2721553" cy="609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600" i="0">
                  <a:latin typeface="Cambria Math"/>
                </a:rPr>
                <a:t>√(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0,01…08</a:t>
              </a:r>
              <a:r>
                <a:rPr lang="pt-BR" sz="1600" b="0" i="0">
                  <a:latin typeface="Cambria Math"/>
                </a:rPr>
                <a:t>−</a:t>
              </a:r>
              <a:r>
                <a:rPr lang="pt-BR" sz="1600" b="0" i="0">
                  <a:solidFill>
                    <a:schemeClr val="bg1"/>
                  </a:solidFill>
                  <a:latin typeface="Cambria Math"/>
                </a:rPr>
                <a:t>0,0…..022)</a:t>
              </a:r>
              <a:r>
                <a:rPr lang="pt-BR" sz="1600"/>
                <a:t>= </a:t>
              </a:r>
              <a:r>
                <a:rPr lang="pt-BR" sz="1600">
                  <a:solidFill>
                    <a:schemeClr val="bg1"/>
                  </a:solidFill>
                </a:rPr>
                <a:t>0,11</a:t>
              </a:r>
            </a:p>
          </xdr:txBody>
        </xdr:sp>
      </mc:Fallback>
    </mc:AlternateContent>
    <xdr:clientData/>
  </xdr:oneCellAnchor>
  <xdr:twoCellAnchor>
    <xdr:from>
      <xdr:col>1</xdr:col>
      <xdr:colOff>200025</xdr:colOff>
      <xdr:row>29</xdr:row>
      <xdr:rowOff>9525</xdr:rowOff>
    </xdr:from>
    <xdr:to>
      <xdr:col>2</xdr:col>
      <xdr:colOff>542924</xdr:colOff>
      <xdr:row>32</xdr:row>
      <xdr:rowOff>166686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000125" y="6153150"/>
          <a:ext cx="1085849" cy="728661"/>
          <a:chOff x="3890969" y="3425335"/>
          <a:chExt cx="3687762" cy="2121262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90969" y="3584447"/>
            <a:ext cx="3687762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CaixaDeTexto 2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23788" y="3425335"/>
            <a:ext cx="809342" cy="732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6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3</xdr:col>
      <xdr:colOff>466724</xdr:colOff>
      <xdr:row>29</xdr:row>
      <xdr:rowOff>128587</xdr:rowOff>
    </xdr:from>
    <xdr:ext cx="2419351" cy="5067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BR" sz="18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>
                          <a:latin typeface="Cambria Math"/>
                        </a:rPr>
                        <m:t>6 .   </m:t>
                      </m:r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0,11</m:t>
                      </m:r>
                    </m:num>
                    <m:den>
                      <m:r>
                        <a:rPr lang="pt-BR" sz="1800" b="0" i="1">
                          <a:solidFill>
                            <a:schemeClr val="bg1"/>
                          </a:solidFill>
                          <a:latin typeface="Cambria Math"/>
                        </a:rPr>
                        <m:t>10,00</m:t>
                      </m:r>
                    </m:den>
                  </m:f>
                </m:oMath>
              </a14:m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Choice>
      <mc:Fallback xmlns="">
        <xdr:sp macro="" textlink="">
          <xdr:nvSpPr>
            <xdr:cNvPr id="30" name="CaixaDeTexto 29"/>
            <xdr:cNvSpPr txBox="1"/>
          </xdr:nvSpPr>
          <xdr:spPr>
            <a:xfrm>
              <a:off x="2619374" y="6215062"/>
              <a:ext cx="2419351" cy="506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i="0">
                  <a:latin typeface="Cambria Math"/>
                </a:rPr>
                <a:t>(</a:t>
              </a:r>
              <a:r>
                <a:rPr lang="pt-BR" sz="1800" b="0" i="0">
                  <a:latin typeface="Cambria Math"/>
                </a:rPr>
                <a:t>6 .   </a:t>
              </a:r>
              <a:r>
                <a:rPr lang="pt-BR" sz="1800" b="0" i="0">
                  <a:solidFill>
                    <a:schemeClr val="bg1"/>
                  </a:solidFill>
                  <a:latin typeface="Cambria Math"/>
                </a:rPr>
                <a:t>0,11)/10,00</a:t>
              </a:r>
              <a:r>
                <a:rPr lang="pt-BR" sz="1800"/>
                <a:t>= </a:t>
              </a:r>
              <a:r>
                <a:rPr lang="pt-BR" sz="1800">
                  <a:solidFill>
                    <a:schemeClr val="bg1"/>
                  </a:solidFill>
                </a:rPr>
                <a:t>0,066</a:t>
              </a:r>
              <a:r>
                <a:rPr lang="pt-BR" sz="1800"/>
                <a:t> = (</a:t>
              </a:r>
              <a:r>
                <a:rPr lang="pt-BR" sz="1800">
                  <a:solidFill>
                    <a:schemeClr val="bg1"/>
                  </a:solidFill>
                </a:rPr>
                <a:t>6,6%</a:t>
              </a:r>
              <a:r>
                <a:rPr lang="pt-BR" sz="1800">
                  <a:solidFill>
                    <a:sysClr val="windowText" lastClr="000000"/>
                  </a:solidFill>
                </a:rPr>
                <a:t>%</a:t>
              </a:r>
              <a:r>
                <a:rPr lang="pt-BR" sz="1800"/>
                <a:t>)</a:t>
              </a:r>
            </a:p>
          </xdr:txBody>
        </xdr:sp>
      </mc:Fallback>
    </mc:AlternateContent>
    <xdr:clientData/>
  </xdr:oneCellAnchor>
  <xdr:oneCellAnchor>
    <xdr:from>
      <xdr:col>9</xdr:col>
      <xdr:colOff>580163</xdr:colOff>
      <xdr:row>23</xdr:row>
      <xdr:rowOff>69272</xdr:rowOff>
    </xdr:from>
    <xdr:ext cx="2164771" cy="363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 txBox="1"/>
          </xdr:nvSpPr>
          <xdr:spPr>
            <a:xfrm>
              <a:off x="7360231" y="5013613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………….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bg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………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0" name="CaixaDeTexto 39"/>
            <xdr:cNvSpPr txBox="1"/>
          </xdr:nvSpPr>
          <xdr:spPr>
            <a:xfrm>
              <a:off x="7360231" y="5013613"/>
              <a:ext cx="2164771" cy="36394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</a:t>
              </a:r>
              <a:r>
                <a:rPr lang="pt-BR" sz="1100" b="0" i="0">
                  <a:latin typeface="Cambria Math"/>
                </a:rPr>
                <a:t>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……….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………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.))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10</xdr:col>
      <xdr:colOff>129886</xdr:colOff>
      <xdr:row>24</xdr:row>
      <xdr:rowOff>17317</xdr:rowOff>
    </xdr:from>
    <xdr:to>
      <xdr:col>10</xdr:col>
      <xdr:colOff>233795</xdr:colOff>
      <xdr:row>24</xdr:row>
      <xdr:rowOff>112568</xdr:rowOff>
    </xdr:to>
    <xdr:sp macro="" textlink="">
      <xdr:nvSpPr>
        <xdr:cNvPr id="14" name="Seta para a direi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516091" y="5152158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516082</xdr:colOff>
      <xdr:row>27</xdr:row>
      <xdr:rowOff>109103</xdr:rowOff>
    </xdr:from>
    <xdr:to>
      <xdr:col>6</xdr:col>
      <xdr:colOff>39832</xdr:colOff>
      <xdr:row>28</xdr:row>
      <xdr:rowOff>13854</xdr:rowOff>
    </xdr:to>
    <xdr:sp macro="" textlink="">
      <xdr:nvSpPr>
        <xdr:cNvPr id="42" name="Seta para a direita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429991" y="5876058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131617</xdr:colOff>
      <xdr:row>30</xdr:row>
      <xdr:rowOff>131616</xdr:rowOff>
    </xdr:from>
    <xdr:to>
      <xdr:col>3</xdr:col>
      <xdr:colOff>235526</xdr:colOff>
      <xdr:row>31</xdr:row>
      <xdr:rowOff>36367</xdr:rowOff>
    </xdr:to>
    <xdr:sp macro="" textlink="">
      <xdr:nvSpPr>
        <xdr:cNvPr id="43" name="Seta para a direita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279072" y="6470071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545522</xdr:colOff>
      <xdr:row>21</xdr:row>
      <xdr:rowOff>51955</xdr:rowOff>
    </xdr:from>
    <xdr:to>
      <xdr:col>7</xdr:col>
      <xdr:colOff>43294</xdr:colOff>
      <xdr:row>21</xdr:row>
      <xdr:rowOff>147206</xdr:rowOff>
    </xdr:to>
    <xdr:sp macro="" textlink="">
      <xdr:nvSpPr>
        <xdr:cNvPr id="44" name="Seta para a direita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039590" y="4615296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14</xdr:col>
      <xdr:colOff>103188</xdr:colOff>
      <xdr:row>0</xdr:row>
      <xdr:rowOff>0</xdr:rowOff>
    </xdr:from>
    <xdr:to>
      <xdr:col>25</xdr:col>
      <xdr:colOff>503238</xdr:colOff>
      <xdr:row>22</xdr:row>
      <xdr:rowOff>127000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18" t="32437" r="10207" b="32339"/>
        <a:stretch>
          <a:fillRect/>
        </a:stretch>
      </xdr:blipFill>
      <xdr:spPr bwMode="auto">
        <a:xfrm>
          <a:off x="11207751" y="0"/>
          <a:ext cx="7123112" cy="472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801688</xdr:colOff>
      <xdr:row>16</xdr:row>
      <xdr:rowOff>14286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 txBox="1"/>
          </xdr:nvSpPr>
          <xdr:spPr>
            <a:xfrm>
              <a:off x="801688" y="3148318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E0B94212-C93D-4310-9FBC-0B211F741ACA}"/>
                </a:ext>
              </a:extLst>
            </xdr:cNvPr>
            <xdr:cNvSpPr txBox="1"/>
          </xdr:nvSpPr>
          <xdr:spPr>
            <a:xfrm>
              <a:off x="801688" y="3148318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15</xdr:row>
      <xdr:rowOff>157162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885825" y="310356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4E89DE13-0C7B-4B3E-BCE5-186647B93614}"/>
                </a:ext>
              </a:extLst>
            </xdr:cNvPr>
            <xdr:cNvSpPr txBox="1"/>
          </xdr:nvSpPr>
          <xdr:spPr>
            <a:xfrm>
              <a:off x="885825" y="310356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657225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149542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B7C4464B-D5F1-4C65-B121-F4AE795472E9}"/>
                </a:ext>
              </a:extLst>
            </xdr:cNvPr>
            <xdr:cNvSpPr txBox="1"/>
          </xdr:nvSpPr>
          <xdr:spPr>
            <a:xfrm>
              <a:off x="149542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2562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5589DF05-F512-4FF9-A2B6-6CEFC4220590}"/>
                </a:ext>
              </a:extLst>
            </xdr:cNvPr>
            <xdr:cNvSpPr txBox="1"/>
          </xdr:nvSpPr>
          <xdr:spPr>
            <a:xfrm>
              <a:off x="2562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4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3959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E596843F-B727-4EA4-9EAA-E721284D1BA1}"/>
                </a:ext>
              </a:extLst>
            </xdr:cNvPr>
            <xdr:cNvSpPr txBox="1"/>
          </xdr:nvSpPr>
          <xdr:spPr>
            <a:xfrm>
              <a:off x="3959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5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4587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41223217-9610-46F8-8222-6EB5587B207A}"/>
                </a:ext>
              </a:extLst>
            </xdr:cNvPr>
            <xdr:cNvSpPr txBox="1"/>
          </xdr:nvSpPr>
          <xdr:spPr>
            <a:xfrm>
              <a:off x="4587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5610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𝐵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AC572EA2-FD1D-4634-8F18-8C81E8C37E4E}"/>
                </a:ext>
              </a:extLst>
            </xdr:cNvPr>
            <xdr:cNvSpPr txBox="1"/>
          </xdr:nvSpPr>
          <xdr:spPr>
            <a:xfrm>
              <a:off x="561022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485775</xdr:colOff>
      <xdr:row>15</xdr:row>
      <xdr:rowOff>176212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7007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134550B9-6627-413B-99EB-47DEC00B545C}"/>
                </a:ext>
              </a:extLst>
            </xdr:cNvPr>
            <xdr:cNvSpPr txBox="1"/>
          </xdr:nvSpPr>
          <xdr:spPr>
            <a:xfrm>
              <a:off x="7007225" y="3122612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𝐶1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9</xdr:col>
      <xdr:colOff>504825</xdr:colOff>
      <xdr:row>16</xdr:row>
      <xdr:rowOff>0</xdr:rowOff>
    </xdr:from>
    <xdr:ext cx="91440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7635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A7B86571-D61A-4BD1-9E2D-CFC23F002A5F}"/>
                </a:ext>
              </a:extLst>
            </xdr:cNvPr>
            <xdr:cNvSpPr txBox="1"/>
          </xdr:nvSpPr>
          <xdr:spPr>
            <a:xfrm>
              <a:off x="7635875" y="3130550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876617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D4B7563-23C3-4F63-A072-9F9085516DCB}"/>
                </a:ext>
              </a:extLst>
            </xdr:cNvPr>
            <xdr:cNvSpPr txBox="1"/>
          </xdr:nvSpPr>
          <xdr:spPr>
            <a:xfrm>
              <a:off x="8766175" y="3108325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</xdr:col>
      <xdr:colOff>95250</xdr:colOff>
      <xdr:row>19</xdr:row>
      <xdr:rowOff>19050</xdr:rowOff>
    </xdr:from>
    <xdr:ext cx="1885950" cy="4181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933450" y="382270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𝐴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𝐴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.....</a:t>
              </a:r>
            </a:p>
          </xdr:txBody>
        </xdr:sp>
      </mc:Choice>
      <mc:Fallback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933450" y="382270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.....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4083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𝐵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𝐵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70AAFCCC-107C-45A2-9B13-73A2E9FB2994}"/>
                </a:ext>
              </a:extLst>
            </xdr:cNvPr>
            <xdr:cNvSpPr txBox="1"/>
          </xdr:nvSpPr>
          <xdr:spPr>
            <a:xfrm>
              <a:off x="4083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𝐵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𝐵2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19</xdr:row>
      <xdr:rowOff>0</xdr:rowOff>
    </xdr:from>
    <xdr:ext cx="1885950" cy="41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7131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̿"/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pt-BR" sz="1400" b="0" i="1">
                              <a:latin typeface="Cambria Math"/>
                            </a:rPr>
                            <m:t>𝑋</m:t>
                          </m:r>
                        </m:e>
                      </m:acc>
                    </m:e>
                    <m:sub>
                      <m:r>
                        <a:rPr lang="pt-BR" sz="1400" b="0" i="1">
                          <a:latin typeface="Cambria Math"/>
                        </a:rPr>
                        <m:t>𝐶</m:t>
                      </m:r>
                    </m:sub>
                  </m:sSub>
                </m:oMath>
              </a14:m>
              <a:r>
                <a:rPr lang="pt-BR" sz="1400"/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pt-BR" sz="14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1</m:t>
                          </m:r>
                        </m:sub>
                      </m:sSub>
                      <m:r>
                        <a:rPr lang="pt-BR" sz="1400" b="0" i="1">
                          <a:latin typeface="Cambria Math"/>
                        </a:rPr>
                        <m:t>+ </m:t>
                      </m:r>
                      <m:sSub>
                        <m:sSub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̅"/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pt-BR" sz="1400" b="0" i="1">
                                  <a:latin typeface="Cambria Math"/>
                                </a:rPr>
                                <m:t>𝑋</m:t>
                              </m:r>
                            </m:e>
                          </m:acc>
                        </m:e>
                        <m:sub>
                          <m:r>
                            <a:rPr lang="pt-BR" sz="1400" b="0" i="1">
                              <a:latin typeface="Cambria Math"/>
                            </a:rPr>
                            <m:t>𝐶</m:t>
                          </m:r>
                          <m:r>
                            <a:rPr lang="pt-BR" sz="1400" b="0" i="1">
                              <a:latin typeface="Cambria Math"/>
                            </a:rPr>
                            <m:t>2</m:t>
                          </m:r>
                        </m:sub>
                      </m:sSub>
                    </m:num>
                    <m:den>
                      <m:r>
                        <a:rPr lang="pt-BR" sz="1400" b="0" i="1">
                          <a:latin typeface="Cambria Math"/>
                        </a:rPr>
                        <m:t>2</m:t>
                      </m:r>
                    </m:den>
                  </m:f>
                </m:oMath>
              </a14:m>
              <a:r>
                <a:rPr lang="pt-BR" sz="1400"/>
                <a:t>= ...</a:t>
              </a:r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BFA8DEA9-90C7-4A73-9EAD-84B2C8B4E1F7}"/>
                </a:ext>
              </a:extLst>
            </xdr:cNvPr>
            <xdr:cNvSpPr txBox="1"/>
          </xdr:nvSpPr>
          <xdr:spPr>
            <a:xfrm>
              <a:off x="7131050" y="3803650"/>
              <a:ext cx="1885950" cy="41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</a:t>
              </a:r>
              <a:r>
                <a:rPr lang="pt-BR" sz="1400"/>
                <a:t>= </a:t>
              </a:r>
              <a:r>
                <a:rPr lang="pt-BR" sz="1400" i="0">
                  <a:latin typeface="Cambria Math" panose="02040503050406030204" pitchFamily="18" charset="0"/>
                </a:rPr>
                <a:t>(</a:t>
              </a:r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𝐶1+ 𝑋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𝐶2</a:t>
              </a:r>
              <a:r>
                <a:rPr lang="pt-BR" sz="1400" b="0" i="0">
                  <a:latin typeface="Cambria Math" panose="02040503050406030204" pitchFamily="18" charset="0"/>
                </a:rPr>
                <a:t>)/</a:t>
              </a:r>
              <a:r>
                <a:rPr lang="pt-BR" sz="1400" b="0" i="0">
                  <a:latin typeface="Cambria Math"/>
                </a:rPr>
                <a:t>2</a:t>
              </a:r>
              <a:r>
                <a:rPr lang="pt-BR" sz="1400"/>
                <a:t>= ...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171450</xdr:colOff>
          <xdr:row>20</xdr:row>
          <xdr:rowOff>38100</xdr:rowOff>
        </xdr:from>
        <xdr:to>
          <xdr:col>2</xdr:col>
          <xdr:colOff>66675</xdr:colOff>
          <xdr:row>22</xdr:row>
          <xdr:rowOff>95250</xdr:rowOff>
        </xdr:to>
        <xdr:sp macro="" textlink="">
          <xdr:nvSpPr>
            <xdr:cNvPr id="7169" name="Objeto 2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28575</xdr:colOff>
      <xdr:row>20</xdr:row>
      <xdr:rowOff>42862</xdr:rowOff>
    </xdr:from>
    <xdr:ext cx="1476374" cy="3854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685925" y="4414837"/>
              <a:ext cx="1476374" cy="385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(</m:t>
                        </m:r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0,002</m:t>
                        </m:r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0,001</m:t>
                        </m:r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+</m:t>
                        </m:r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0,001</m:t>
                        </m:r>
                        <m:r>
                          <a:rPr lang="pt-BR" sz="1000" b="0" i="1">
                            <a:latin typeface="Cambria Math"/>
                          </a:rPr>
                          <m:t> )</m:t>
                        </m:r>
                      </m:num>
                      <m:den>
                        <m:r>
                          <a:rPr lang="pt-BR" sz="10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pt-BR" sz="1000"/>
            </a:p>
          </xdr:txBody>
        </xdr:sp>
      </mc:Choice>
      <mc:Fallback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685925" y="4414837"/>
              <a:ext cx="1476374" cy="385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00" i="0">
                  <a:latin typeface="Cambria Math" panose="02040503050406030204" pitchFamily="18" charset="0"/>
                </a:rPr>
                <a:t>(</a:t>
              </a:r>
              <a:r>
                <a:rPr lang="pt-BR" sz="1000" b="0" i="0">
                  <a:solidFill>
                    <a:srgbClr val="FF0000"/>
                  </a:solidFill>
                  <a:latin typeface="Cambria Math"/>
                </a:rPr>
                <a:t>(</a:t>
              </a:r>
              <a:r>
                <a:rPr lang="pt-BR" sz="10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0,002</a:t>
              </a:r>
              <a:r>
                <a:rPr lang="pt-BR" sz="1000" b="0" i="0">
                  <a:solidFill>
                    <a:srgbClr val="FF0000"/>
                  </a:solidFill>
                  <a:latin typeface="Cambria Math"/>
                </a:rPr>
                <a:t>+</a:t>
              </a:r>
              <a:r>
                <a:rPr lang="pt-BR" sz="10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0,001</a:t>
              </a:r>
              <a:r>
                <a:rPr lang="pt-BR" sz="1000" b="0" i="0">
                  <a:solidFill>
                    <a:srgbClr val="FF0000"/>
                  </a:solidFill>
                  <a:latin typeface="Cambria Math"/>
                </a:rPr>
                <a:t>+</a:t>
              </a:r>
              <a:r>
                <a:rPr lang="pt-BR" sz="10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0,001</a:t>
              </a:r>
              <a:r>
                <a:rPr lang="pt-BR" sz="1000" b="0" i="0">
                  <a:latin typeface="Cambria Math"/>
                </a:rPr>
                <a:t> )</a:t>
              </a:r>
              <a:r>
                <a:rPr lang="pt-BR" sz="1000" b="0" i="0">
                  <a:latin typeface="Cambria Math" panose="02040503050406030204" pitchFamily="18" charset="0"/>
                </a:rPr>
                <a:t>)/</a:t>
              </a:r>
              <a:r>
                <a:rPr lang="pt-BR" sz="1000" b="0" i="0">
                  <a:solidFill>
                    <a:srgbClr val="FF0000"/>
                  </a:solidFill>
                  <a:latin typeface="Cambria Math"/>
                </a:rPr>
                <a:t>3</a:t>
              </a:r>
              <a:endParaRPr lang="pt-BR" sz="10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95250</xdr:colOff>
          <xdr:row>20</xdr:row>
          <xdr:rowOff>9525</xdr:rowOff>
        </xdr:from>
        <xdr:to>
          <xdr:col>6</xdr:col>
          <xdr:colOff>485775</xdr:colOff>
          <xdr:row>23</xdr:row>
          <xdr:rowOff>66675</xdr:rowOff>
        </xdr:to>
        <xdr:sp macro="" textlink="">
          <xdr:nvSpPr>
            <xdr:cNvPr id="7170" name="Objeto 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7</xdr:col>
      <xdr:colOff>161923</xdr:colOff>
      <xdr:row>20</xdr:row>
      <xdr:rowOff>61912</xdr:rowOff>
    </xdr:from>
    <xdr:ext cx="1905001" cy="3877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5495923" y="4433887"/>
              <a:ext cx="1905001" cy="3877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pt-BR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pt-BR" sz="1100" i="1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pt-BR" sz="110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Pr>
                            <m:num>
                              <m:r>
                                <a:rPr lang="pt-BR" sz="1100" b="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0,00133</m:t>
                              </m:r>
                            </m:num>
                            <m:den>
                              <m:r>
                                <a:rPr lang="pt-BR" sz="1100" b="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1,128</m:t>
                              </m:r>
                            </m:den>
                          </m:f>
                        </m:e>
                      </m:d>
                    </m:e>
                    <m:sup>
                      <m:r>
                        <a:rPr lang="pt-BR" sz="1100" b="0" i="1">
                          <a:latin typeface="Cambria Math"/>
                        </a:rPr>
                        <m:t>2</m:t>
                      </m:r>
                    </m:sup>
                  </m:sSup>
                  <m:r>
                    <a:rPr lang="pt-BR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pt-BR" sz="1100" b="0" i="1">
                      <a:solidFill>
                        <a:schemeClr val="bg1"/>
                      </a:solidFill>
                      <a:latin typeface="Cambria Math"/>
                    </a:rPr>
                    <m:t>…</m:t>
                  </m:r>
                  <m:r>
                    <a:rPr lang="pt-BR" sz="1100" b="0" i="0"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100">
                  <a:solidFill>
                    <a:sysClr val="windowText" lastClr="000000"/>
                  </a:solidFill>
                </a:rPr>
                <a:t> 0,0000014</a:t>
              </a:r>
              <a:r>
                <a:rPr lang="pt-BR" sz="1100" baseline="0">
                  <a:solidFill>
                    <a:sysClr val="windowText" lastClr="000000"/>
                  </a:solidFill>
                </a:rPr>
                <a:t> </a:t>
              </a:r>
              <a:endParaRPr lang="pt-BR" sz="110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5495923" y="4433887"/>
              <a:ext cx="1905001" cy="3877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10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0,00133/1,128)^</a:t>
              </a:r>
              <a:r>
                <a:rPr lang="pt-BR" sz="1100" b="0" i="0">
                  <a:latin typeface="Cambria Math"/>
                </a:rPr>
                <a:t>2</a:t>
              </a:r>
              <a:r>
                <a:rPr lang="pt-BR" sz="1100" b="0" i="0">
                  <a:latin typeface="Cambria Math" panose="02040503050406030204" pitchFamily="18" charset="0"/>
                </a:rPr>
                <a:t>  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pt-BR" sz="1100">
                  <a:solidFill>
                    <a:sysClr val="windowText" lastClr="000000"/>
                  </a:solidFill>
                </a:rPr>
                <a:t> 0,0000014</a:t>
              </a:r>
              <a:r>
                <a:rPr lang="pt-BR" sz="1100" baseline="0">
                  <a:solidFill>
                    <a:sysClr val="windowText" lastClr="000000"/>
                  </a:solidFill>
                </a:rPr>
                <a:t> </a:t>
              </a:r>
              <a:endParaRPr lang="pt-BR" sz="11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23</xdr:row>
          <xdr:rowOff>171450</xdr:rowOff>
        </xdr:from>
        <xdr:to>
          <xdr:col>2</xdr:col>
          <xdr:colOff>514350</xdr:colOff>
          <xdr:row>25</xdr:row>
          <xdr:rowOff>114300</xdr:rowOff>
        </xdr:to>
        <xdr:sp macro="" textlink="">
          <xdr:nvSpPr>
            <xdr:cNvPr id="7171" name="Objeto 5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23</xdr:row>
          <xdr:rowOff>19050</xdr:rowOff>
        </xdr:from>
        <xdr:to>
          <xdr:col>7</xdr:col>
          <xdr:colOff>381000</xdr:colOff>
          <xdr:row>25</xdr:row>
          <xdr:rowOff>142875</xdr:rowOff>
        </xdr:to>
        <xdr:sp macro="" textlink="">
          <xdr:nvSpPr>
            <xdr:cNvPr id="7172" name="Objeto 2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9525</xdr:colOff>
      <xdr:row>25</xdr:row>
      <xdr:rowOff>171450</xdr:rowOff>
    </xdr:from>
    <xdr:to>
      <xdr:col>5</xdr:col>
      <xdr:colOff>266700</xdr:colOff>
      <xdr:row>29</xdr:row>
      <xdr:rowOff>28575</xdr:rowOff>
    </xdr:to>
    <xdr:grpSp>
      <xdr:nvGrpSpPr>
        <xdr:cNvPr id="20" name="Grupo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>
          <a:grpSpLocks/>
        </xdr:cNvGrpSpPr>
      </xdr:nvGrpSpPr>
      <xdr:grpSpPr bwMode="auto">
        <a:xfrm>
          <a:off x="806161" y="5488132"/>
          <a:ext cx="3391766" cy="619125"/>
          <a:chOff x="330624" y="3490913"/>
          <a:chExt cx="8054551" cy="1400175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0400" y="3490913"/>
            <a:ext cx="77247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2" name="CaixaDeTexto 14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624" y="3689985"/>
            <a:ext cx="1405719" cy="8058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20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3" name="CaixaDeTexto 16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860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  <xdr:sp macro="" textlink="">
        <xdr:nvSpPr>
          <xdr:cNvPr id="24" name="CaixaDeTexto 20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7601" y="3789997"/>
            <a:ext cx="1405719" cy="7446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8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6</xdr:col>
      <xdr:colOff>114301</xdr:colOff>
      <xdr:row>26</xdr:row>
      <xdr:rowOff>157162</xdr:rowOff>
    </xdr:from>
    <xdr:ext cx="4200524" cy="359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4733926" y="5672137"/>
              <a:ext cx="4200524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pt-BR" sz="16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pt-BR" sz="1600" b="0" i="1">
                          <a:latin typeface="Cambria Math" panose="02040503050406030204" pitchFamily="18" charset="0"/>
                        </a:rPr>
                        <m:t>0,0000014+0,00000340</m:t>
                      </m:r>
                    </m:e>
                  </m:rad>
                </m:oMath>
              </a14:m>
              <a:r>
                <a:rPr lang="pt-BR" sz="1600"/>
                <a:t>= </a:t>
              </a:r>
              <a:r>
                <a:rPr lang="pt-BR" sz="1600">
                  <a:solidFill>
                    <a:srgbClr val="FF0000"/>
                  </a:solidFill>
                </a:rPr>
                <a:t>0,0021893550</a:t>
              </a:r>
              <a:r>
                <a:rPr lang="pt-BR" sz="1600">
                  <a:solidFill>
                    <a:schemeClr val="bg1"/>
                  </a:solidFill>
                </a:rPr>
                <a:t>11</a:t>
              </a:r>
            </a:p>
          </xdr:txBody>
        </xdr:sp>
      </mc:Choice>
      <mc:Fallback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4733926" y="5672137"/>
              <a:ext cx="4200524" cy="359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600" i="0">
                  <a:latin typeface="Cambria Math" panose="02040503050406030204" pitchFamily="18" charset="0"/>
                </a:rPr>
                <a:t>√(</a:t>
              </a:r>
              <a:r>
                <a:rPr lang="pt-BR" sz="1600" b="0" i="0">
                  <a:latin typeface="Cambria Math" panose="02040503050406030204" pitchFamily="18" charset="0"/>
                </a:rPr>
                <a:t>0,0000014+0,00000340)</a:t>
              </a:r>
              <a:r>
                <a:rPr lang="pt-BR" sz="1600"/>
                <a:t>= </a:t>
              </a:r>
              <a:r>
                <a:rPr lang="pt-BR" sz="1600">
                  <a:solidFill>
                    <a:srgbClr val="FF0000"/>
                  </a:solidFill>
                </a:rPr>
                <a:t>0,0021893550</a:t>
              </a:r>
              <a:r>
                <a:rPr lang="pt-BR" sz="1600">
                  <a:solidFill>
                    <a:schemeClr val="bg1"/>
                  </a:solidFill>
                </a:rPr>
                <a:t>11</a:t>
              </a:r>
            </a:p>
          </xdr:txBody>
        </xdr:sp>
      </mc:Fallback>
    </mc:AlternateContent>
    <xdr:clientData/>
  </xdr:oneCellAnchor>
  <xdr:twoCellAnchor>
    <xdr:from>
      <xdr:col>1</xdr:col>
      <xdr:colOff>200025</xdr:colOff>
      <xdr:row>29</xdr:row>
      <xdr:rowOff>9525</xdr:rowOff>
    </xdr:from>
    <xdr:to>
      <xdr:col>2</xdr:col>
      <xdr:colOff>542924</xdr:colOff>
      <xdr:row>32</xdr:row>
      <xdr:rowOff>166686</xdr:rowOff>
    </xdr:to>
    <xdr:grpSp>
      <xdr:nvGrpSpPr>
        <xdr:cNvPr id="26" name="Grupo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>
          <a:grpSpLocks/>
        </xdr:cNvGrpSpPr>
      </xdr:nvGrpSpPr>
      <xdr:grpSpPr bwMode="auto">
        <a:xfrm>
          <a:off x="996661" y="6088207"/>
          <a:ext cx="1208808" cy="728661"/>
          <a:chOff x="3890969" y="3425335"/>
          <a:chExt cx="3687762" cy="2121262"/>
        </a:xfrm>
      </xdr:grpSpPr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90969" y="3584447"/>
            <a:ext cx="3687762" cy="1962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8" name="CaixaDeTexto 21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23788" y="3425335"/>
            <a:ext cx="809342" cy="73276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3200" i="1" kern="1200">
                <a:solidFill>
                  <a:srgbClr val="FFFFFF"/>
                </a:solidFill>
                <a:latin typeface="Georgia" pitchFamily="18" charset="0"/>
                <a:ea typeface="+mn-ea"/>
                <a:cs typeface="+mn-cs"/>
              </a:defRPr>
            </a:lvl9pPr>
          </a:lstStyle>
          <a:p>
            <a:pPr eaLnBrk="1" hangingPunct="1"/>
            <a:r>
              <a:rPr lang="pt-BR" sz="1600" b="1" i="0">
                <a:solidFill>
                  <a:schemeClr val="tx1"/>
                </a:solidFill>
              </a:rPr>
              <a:t>^</a:t>
            </a:r>
          </a:p>
        </xdr:txBody>
      </xdr:sp>
    </xdr:grpSp>
    <xdr:clientData/>
  </xdr:twoCellAnchor>
  <xdr:oneCellAnchor>
    <xdr:from>
      <xdr:col>3</xdr:col>
      <xdr:colOff>466724</xdr:colOff>
      <xdr:row>29</xdr:row>
      <xdr:rowOff>128587</xdr:rowOff>
    </xdr:from>
    <xdr:ext cx="5229226" cy="4896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2867024" y="6215062"/>
              <a:ext cx="5229226" cy="489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BR" sz="180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>
                          <a:solidFill>
                            <a:srgbClr val="FF0000"/>
                          </a:solidFill>
                          <a:latin typeface="Cambria Math"/>
                        </a:rPr>
                        <m:t>6 </m:t>
                      </m:r>
                      <m:r>
                        <a:rPr lang="pt-BR" sz="18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pt-BR" sz="18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0,0021893550 </m:t>
                      </m:r>
                    </m:num>
                    <m:den>
                      <m:r>
                        <a:rPr lang="pt-BR" sz="18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10</m:t>
                      </m:r>
                    </m:den>
                  </m:f>
                </m:oMath>
              </a14:m>
              <a:r>
                <a:rPr lang="pt-BR" sz="1800"/>
                <a:t> = 0,0013136132 = (</a:t>
              </a:r>
              <a:r>
                <a:rPr lang="pt-BR" sz="1800">
                  <a:solidFill>
                    <a:srgbClr val="FF0000"/>
                  </a:solidFill>
                </a:rPr>
                <a:t>0,1314%)</a:t>
              </a:r>
              <a:endParaRPr lang="pt-BR" sz="1800"/>
            </a:p>
          </xdr:txBody>
        </xdr:sp>
      </mc:Choice>
      <mc:Fallback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2867024" y="6215062"/>
              <a:ext cx="5229226" cy="4896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8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lang="pt-BR" sz="1800" b="0" i="0">
                  <a:solidFill>
                    <a:srgbClr val="FF0000"/>
                  </a:solidFill>
                  <a:latin typeface="Cambria Math"/>
                </a:rPr>
                <a:t>6 </a:t>
              </a:r>
              <a:r>
                <a:rPr lang="pt-BR" sz="1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𝑥0,0021893550</a:t>
              </a:r>
              <a:r>
                <a:rPr lang="pt-BR" sz="1800" b="0" i="0">
                  <a:solidFill>
                    <a:srgbClr val="FF0000"/>
                  </a:solidFill>
                  <a:latin typeface="Cambria Math"/>
                </a:rPr>
                <a:t> </a:t>
              </a:r>
              <a:r>
                <a:rPr lang="pt-BR" sz="1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)/10</a:t>
              </a:r>
              <a:r>
                <a:rPr lang="pt-BR" sz="1800"/>
                <a:t> = 0,0013136132 = (</a:t>
              </a:r>
              <a:r>
                <a:rPr lang="pt-BR" sz="1800">
                  <a:solidFill>
                    <a:srgbClr val="FF0000"/>
                  </a:solidFill>
                </a:rPr>
                <a:t>0,1314%)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7</xdr:col>
      <xdr:colOff>304799</xdr:colOff>
      <xdr:row>23</xdr:row>
      <xdr:rowOff>28575</xdr:rowOff>
    </xdr:from>
    <xdr:ext cx="2133601" cy="506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5638799" y="4972050"/>
              <a:ext cx="2133601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100" i="1">
                                    <a:solidFill>
                                      <a:srgbClr val="FF0000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100" b="0" i="1">
                                    <a:solidFill>
                                      <a:srgbClr val="FF0000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0,00210</m:t>
                                </m:r>
                              </m:num>
                              <m:den>
                                <m:r>
                                  <a:rPr lang="pt-BR" sz="1100" b="0" i="1">
                                    <a:solidFill>
                                      <a:srgbClr val="FF0000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0,0128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pt-BR" sz="110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0,0000014</m:t>
                            </m:r>
                            <m: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.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10 </m:t>
                            </m:r>
                            <m: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 20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bg1"/>
                        </a:solidFill>
                        <a:latin typeface="Cambria Math"/>
                      </a:rPr>
                      <m:t>….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5638799" y="4972050"/>
              <a:ext cx="2133601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0,00210/0,0128</a:t>
              </a:r>
              <a:r>
                <a:rPr lang="pt-BR" sz="1100" b="0" i="0">
                  <a:solidFill>
                    <a:schemeClr val="bg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pt-BR" sz="1100" b="0" i="0">
                  <a:latin typeface="Cambria Math"/>
                </a:rPr>
                <a:t>2−</a:t>
              </a:r>
              <a:r>
                <a:rPr lang="pt-BR" sz="1100" b="0" i="0">
                  <a:latin typeface="Cambria Math" panose="02040503050406030204" pitchFamily="18" charset="0"/>
                </a:rPr>
                <a:t>(</a:t>
              </a:r>
              <a:r>
                <a:rPr lang="pt-BR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(0,0000014</a:t>
              </a:r>
              <a:r>
                <a:rPr lang="pt-BR" sz="1100" b="0" i="0">
                  <a:solidFill>
                    <a:srgbClr val="FF0000"/>
                  </a:solidFill>
                  <a:latin typeface="Cambria Math"/>
                </a:rPr>
                <a:t>.</a:t>
              </a:r>
              <a:r>
                <a:rPr lang="pt-BR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)/(10 𝑥 20)</a:t>
              </a:r>
              <a:r>
                <a:rPr lang="pt-BR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pt-BR" sz="1100" b="0" i="0">
                  <a:solidFill>
                    <a:schemeClr val="bg1"/>
                  </a:solidFill>
                  <a:latin typeface="Cambria Math"/>
                </a:rPr>
                <a:t>….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787978</xdr:colOff>
      <xdr:row>23</xdr:row>
      <xdr:rowOff>174047</xdr:rowOff>
    </xdr:from>
    <xdr:ext cx="2879147" cy="2567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7645978" y="5117522"/>
              <a:ext cx="2879147" cy="2567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0,00000347</m:t>
                        </m:r>
                      </m:e>
                    </m:d>
                    <m:r>
                      <a:rPr lang="pt-BR" sz="1050" b="0" i="1">
                        <a:latin typeface="Cambria Math"/>
                      </a:rPr>
                      <m:t>−</m:t>
                    </m:r>
                    <m:d>
                      <m:dPr>
                        <m:ctrlP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0,00000007</m:t>
                        </m:r>
                      </m:e>
                    </m:d>
                    <m:r>
                      <a:rPr lang="pt-BR" sz="105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pt-BR" sz="1050" b="0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0,00000340</m:t>
                    </m:r>
                  </m:oMath>
                </m:oMathPara>
              </a14:m>
              <a:endParaRPr lang="pt-BR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7645978" y="5117522"/>
              <a:ext cx="2879147" cy="2567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(0,00000347</a:t>
              </a:r>
              <a:r>
                <a:rPr lang="pt-BR" sz="1050" b="0" i="0">
                  <a:solidFill>
                    <a:schemeClr val="bg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050" b="0" i="0">
                  <a:latin typeface="Cambria Math"/>
                </a:rPr>
                <a:t>−</a:t>
              </a:r>
              <a:r>
                <a:rPr lang="pt-BR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(0,00000007)</a:t>
              </a:r>
              <a:r>
                <a:rPr lang="pt-BR" sz="105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pt-BR" sz="105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0,00000340</a:t>
              </a:r>
              <a:endParaRPr lang="pt-BR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twoCellAnchor>
    <xdr:from>
      <xdr:col>9</xdr:col>
      <xdr:colOff>657225</xdr:colOff>
      <xdr:row>24</xdr:row>
      <xdr:rowOff>66675</xdr:rowOff>
    </xdr:from>
    <xdr:to>
      <xdr:col>9</xdr:col>
      <xdr:colOff>761134</xdr:colOff>
      <xdr:row>24</xdr:row>
      <xdr:rowOff>161926</xdr:rowOff>
    </xdr:to>
    <xdr:sp macro="" textlink="">
      <xdr:nvSpPr>
        <xdr:cNvPr id="32" name="Seta para a direita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7515225" y="520065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523875</xdr:colOff>
      <xdr:row>27</xdr:row>
      <xdr:rowOff>76200</xdr:rowOff>
    </xdr:from>
    <xdr:to>
      <xdr:col>5</xdr:col>
      <xdr:colOff>627784</xdr:colOff>
      <xdr:row>27</xdr:row>
      <xdr:rowOff>171451</xdr:rowOff>
    </xdr:to>
    <xdr:sp macro="" textlink="">
      <xdr:nvSpPr>
        <xdr:cNvPr id="33" name="Seta para a direita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4606925" y="5626100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47625</xdr:colOff>
      <xdr:row>30</xdr:row>
      <xdr:rowOff>85725</xdr:rowOff>
    </xdr:from>
    <xdr:to>
      <xdr:col>3</xdr:col>
      <xdr:colOff>151534</xdr:colOff>
      <xdr:row>30</xdr:row>
      <xdr:rowOff>180976</xdr:rowOff>
    </xdr:to>
    <xdr:sp macro="" textlink="">
      <xdr:nvSpPr>
        <xdr:cNvPr id="34" name="Seta para a direita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562225" y="6188075"/>
          <a:ext cx="103909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638175</xdr:colOff>
      <xdr:row>21</xdr:row>
      <xdr:rowOff>66675</xdr:rowOff>
    </xdr:from>
    <xdr:to>
      <xdr:col>7</xdr:col>
      <xdr:colOff>27709</xdr:colOff>
      <xdr:row>21</xdr:row>
      <xdr:rowOff>161926</xdr:rowOff>
    </xdr:to>
    <xdr:sp macro="" textlink="">
      <xdr:nvSpPr>
        <xdr:cNvPr id="35" name="Seta para a direita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5451475" y="4511675"/>
          <a:ext cx="138834" cy="952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C72710B-05B2-41C6-B8C6-0E99892E25D6}"/>
                </a:ext>
              </a:extLst>
            </xdr:cNvPr>
            <xdr:cNvSpPr txBox="1"/>
          </xdr:nvSpPr>
          <xdr:spPr>
            <a:xfrm>
              <a:off x="1460046" y="3224893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6C72710B-05B2-41C6-B8C6-0E99892E25D6}"/>
                </a:ext>
              </a:extLst>
            </xdr:cNvPr>
            <xdr:cNvSpPr txBox="1"/>
          </xdr:nvSpPr>
          <xdr:spPr>
            <a:xfrm>
              <a:off x="1460046" y="3224893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CCBB0E5B-35D5-4F80-915B-4A57D96E134C}"/>
                </a:ext>
              </a:extLst>
            </xdr:cNvPr>
            <xdr:cNvSpPr txBox="1"/>
          </xdr:nvSpPr>
          <xdr:spPr>
            <a:xfrm>
              <a:off x="146063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CCBB0E5B-35D5-4F80-915B-4A57D96E134C}"/>
                </a:ext>
              </a:extLst>
            </xdr:cNvPr>
            <xdr:cNvSpPr txBox="1"/>
          </xdr:nvSpPr>
          <xdr:spPr>
            <a:xfrm>
              <a:off x="146063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3</xdr:col>
      <xdr:colOff>657225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C4C440A9-FB3D-4511-B7F8-BF9E16BFB4B0}"/>
                </a:ext>
              </a:extLst>
            </xdr:cNvPr>
            <xdr:cNvSpPr txBox="1"/>
          </xdr:nvSpPr>
          <xdr:spPr>
            <a:xfrm>
              <a:off x="2322029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C4C440A9-FB3D-4511-B7F8-BF9E16BFB4B0}"/>
                </a:ext>
              </a:extLst>
            </xdr:cNvPr>
            <xdr:cNvSpPr txBox="1"/>
          </xdr:nvSpPr>
          <xdr:spPr>
            <a:xfrm>
              <a:off x="2322029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𝐴2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10</xdr:col>
      <xdr:colOff>504825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A8E1461-0A99-412A-A7CC-CCA8D4BCE660}"/>
                </a:ext>
              </a:extLst>
            </xdr:cNvPr>
            <xdr:cNvSpPr txBox="1"/>
          </xdr:nvSpPr>
          <xdr:spPr>
            <a:xfrm>
              <a:off x="737110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A8E1461-0A99-412A-A7CC-CCA8D4BCE660}"/>
                </a:ext>
              </a:extLst>
            </xdr:cNvPr>
            <xdr:cNvSpPr txBox="1"/>
          </xdr:nvSpPr>
          <xdr:spPr>
            <a:xfrm>
              <a:off x="737110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504825</xdr:colOff>
      <xdr:row>16</xdr:row>
      <xdr:rowOff>0</xdr:rowOff>
    </xdr:from>
    <xdr:ext cx="914400" cy="33413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116F423C-0D65-4CD3-87E2-0C960956CAD4}"/>
                </a:ext>
              </a:extLst>
            </xdr:cNvPr>
            <xdr:cNvSpPr txBox="1"/>
          </xdr:nvSpPr>
          <xdr:spPr>
            <a:xfrm>
              <a:off x="737110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̿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𝐶</m:t>
                        </m:r>
                        <m:r>
                          <a:rPr lang="pt-BR" sz="1400" b="0" i="1">
                            <a:latin typeface="Cambria Math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116F423C-0D65-4CD3-87E2-0C960956CAD4}"/>
                </a:ext>
              </a:extLst>
            </xdr:cNvPr>
            <xdr:cNvSpPr txBox="1"/>
          </xdr:nvSpPr>
          <xdr:spPr>
            <a:xfrm>
              <a:off x="7371108" y="3230217"/>
              <a:ext cx="91440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𝑋</a:t>
              </a:r>
              <a:r>
                <a:rPr lang="pt-BR" sz="1400" b="0" i="0">
                  <a:latin typeface="Cambria Math" panose="02040503050406030204" pitchFamily="18" charset="0"/>
                </a:rPr>
                <a:t> ̿_</a:t>
              </a:r>
              <a:r>
                <a:rPr lang="pt-BR" sz="1400" b="0" i="0">
                  <a:latin typeface="Cambria Math"/>
                </a:rPr>
                <a:t>𝐶2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47625</xdr:colOff>
      <xdr:row>15</xdr:row>
      <xdr:rowOff>161925</xdr:rowOff>
    </xdr:from>
    <xdr:ext cx="914400" cy="3151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4AD24C42-8622-40F4-A822-CC7F56A69E29}"/>
                </a:ext>
              </a:extLst>
            </xdr:cNvPr>
            <xdr:cNvSpPr txBox="1"/>
          </xdr:nvSpPr>
          <xdr:spPr>
            <a:xfrm>
              <a:off x="2457864" y="3201642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4AD24C42-8622-40F4-A822-CC7F56A69E29}"/>
                </a:ext>
              </a:extLst>
            </xdr:cNvPr>
            <xdr:cNvSpPr txBox="1"/>
          </xdr:nvSpPr>
          <xdr:spPr>
            <a:xfrm>
              <a:off x="2457864" y="3201642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47625</xdr:colOff>
      <xdr:row>15</xdr:row>
      <xdr:rowOff>161925</xdr:rowOff>
    </xdr:from>
    <xdr:ext cx="914400" cy="3151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F81D2907-3451-4FCD-91EC-58FE840CB3AF}"/>
                </a:ext>
              </a:extLst>
            </xdr:cNvPr>
            <xdr:cNvSpPr txBox="1"/>
          </xdr:nvSpPr>
          <xdr:spPr>
            <a:xfrm>
              <a:off x="2457864" y="3201642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pt-BR" sz="1400" b="0" i="1">
                            <a:latin typeface="Cambria Math"/>
                          </a:rPr>
                          <m:t>𝐴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F81D2907-3451-4FCD-91EC-58FE840CB3AF}"/>
                </a:ext>
              </a:extLst>
            </xdr:cNvPr>
            <xdr:cNvSpPr txBox="1"/>
          </xdr:nvSpPr>
          <xdr:spPr>
            <a:xfrm>
              <a:off x="2457864" y="3201642"/>
              <a:ext cx="914400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pt-BR" sz="1400" b="0" i="0">
                  <a:latin typeface="Cambria Math"/>
                </a:rPr>
                <a:t>𝑅</a:t>
              </a:r>
              <a:r>
                <a:rPr lang="pt-BR" sz="1400" b="0" i="0">
                  <a:latin typeface="Cambria Math" panose="02040503050406030204" pitchFamily="18" charset="0"/>
                </a:rPr>
                <a:t> ̅_</a:t>
              </a:r>
              <a:r>
                <a:rPr lang="pt-BR" sz="1400" b="0" i="0">
                  <a:latin typeface="Cambria Math"/>
                </a:rPr>
                <a:t>𝐴</a:t>
              </a:r>
              <a:endParaRPr lang="pt-BR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5.bin"/><Relationship Id="rId7" Type="http://schemas.openxmlformats.org/officeDocument/2006/relationships/oleObject" Target="../embeddings/oleObject7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6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showGridLines="0" zoomScaleNormal="100" workbookViewId="0">
      <selection activeCell="H33" sqref="H33"/>
    </sheetView>
  </sheetViews>
  <sheetFormatPr defaultRowHeight="15" x14ac:dyDescent="0.25"/>
  <cols>
    <col min="1" max="1" width="12" customWidth="1"/>
    <col min="2" max="2" width="11.140625" customWidth="1"/>
    <col min="4" max="4" width="17.42578125" customWidth="1"/>
    <col min="6" max="6" width="8.7109375" customWidth="1"/>
    <col min="8" max="8" width="16.140625" customWidth="1"/>
    <col min="12" max="12" width="23.42578125" customWidth="1"/>
  </cols>
  <sheetData>
    <row r="1" spans="1:12" x14ac:dyDescent="0.25">
      <c r="A1" s="54" t="s">
        <v>2</v>
      </c>
      <c r="B1" s="55"/>
      <c r="C1" s="55"/>
      <c r="D1" s="55"/>
      <c r="E1" s="55"/>
      <c r="F1" s="55"/>
      <c r="G1" s="55" t="s">
        <v>12</v>
      </c>
      <c r="H1" s="55"/>
      <c r="I1" s="55"/>
      <c r="J1" s="55"/>
      <c r="K1" s="55"/>
      <c r="L1" s="56"/>
    </row>
    <row r="2" spans="1:12" x14ac:dyDescent="0.25">
      <c r="A2" s="57" t="s">
        <v>1</v>
      </c>
      <c r="B2" s="58"/>
      <c r="C2" s="58"/>
      <c r="D2" s="58"/>
      <c r="E2" s="58"/>
      <c r="F2" s="58"/>
      <c r="G2" s="58" t="s">
        <v>13</v>
      </c>
      <c r="H2" s="58"/>
      <c r="I2" s="58"/>
      <c r="J2" s="58"/>
      <c r="K2" s="58"/>
      <c r="L2" s="59"/>
    </row>
    <row r="3" spans="1:12" x14ac:dyDescent="0.25">
      <c r="A3" s="57" t="s">
        <v>0</v>
      </c>
      <c r="B3" s="58"/>
      <c r="C3" s="58"/>
      <c r="D3" s="58"/>
      <c r="E3" s="58"/>
      <c r="F3" s="58"/>
      <c r="G3" s="60" t="s">
        <v>26</v>
      </c>
      <c r="H3" s="60"/>
      <c r="I3" s="60"/>
      <c r="J3" s="60"/>
      <c r="K3" s="60"/>
      <c r="L3" s="61"/>
    </row>
    <row r="4" spans="1:12" x14ac:dyDescent="0.25">
      <c r="A4" s="62" t="s">
        <v>3</v>
      </c>
      <c r="B4" s="52" t="s">
        <v>4</v>
      </c>
      <c r="C4" s="53"/>
      <c r="D4" s="10" t="s">
        <v>25</v>
      </c>
      <c r="E4" s="62" t="s">
        <v>10</v>
      </c>
      <c r="F4" s="52" t="s">
        <v>4</v>
      </c>
      <c r="G4" s="53"/>
      <c r="H4" s="10" t="s">
        <v>23</v>
      </c>
      <c r="I4" s="62" t="s">
        <v>11</v>
      </c>
      <c r="J4" s="52" t="s">
        <v>4</v>
      </c>
      <c r="K4" s="53"/>
      <c r="L4" s="10" t="s">
        <v>24</v>
      </c>
    </row>
    <row r="5" spans="1:12" ht="29.25" customHeight="1" x14ac:dyDescent="0.25">
      <c r="A5" s="63"/>
      <c r="B5" s="2" t="s">
        <v>5</v>
      </c>
      <c r="C5" s="2" t="s">
        <v>6</v>
      </c>
      <c r="D5" s="6" t="s">
        <v>7</v>
      </c>
      <c r="E5" s="63"/>
      <c r="F5" s="2" t="s">
        <v>5</v>
      </c>
      <c r="G5" s="2" t="s">
        <v>6</v>
      </c>
      <c r="H5" s="6" t="s">
        <v>7</v>
      </c>
      <c r="I5" s="63"/>
      <c r="J5" s="2" t="s">
        <v>5</v>
      </c>
      <c r="K5" s="2" t="s">
        <v>6</v>
      </c>
      <c r="L5" s="6" t="s">
        <v>7</v>
      </c>
    </row>
    <row r="6" spans="1:12" x14ac:dyDescent="0.25">
      <c r="A6" s="7">
        <v>1</v>
      </c>
      <c r="B6" s="3">
        <v>10</v>
      </c>
      <c r="C6" s="3">
        <v>10</v>
      </c>
      <c r="D6" s="48">
        <f>B6-C6</f>
        <v>0</v>
      </c>
      <c r="E6" s="7">
        <v>1</v>
      </c>
      <c r="F6" s="3">
        <v>10</v>
      </c>
      <c r="G6" s="3">
        <v>10</v>
      </c>
      <c r="H6" s="30">
        <f>F6-G6</f>
        <v>0</v>
      </c>
      <c r="I6" s="7">
        <v>1</v>
      </c>
      <c r="J6" s="3">
        <v>10</v>
      </c>
      <c r="K6" s="3">
        <v>10</v>
      </c>
      <c r="L6" s="30">
        <f>J6-K6</f>
        <v>0</v>
      </c>
    </row>
    <row r="7" spans="1:12" x14ac:dyDescent="0.25">
      <c r="A7" s="7">
        <v>2</v>
      </c>
      <c r="B7" s="4">
        <v>11</v>
      </c>
      <c r="C7" s="4">
        <v>11</v>
      </c>
      <c r="D7" s="48">
        <f t="shared" ref="D7:D15" si="0">B7-C7</f>
        <v>0</v>
      </c>
      <c r="E7" s="7">
        <v>2</v>
      </c>
      <c r="F7" s="4">
        <v>11</v>
      </c>
      <c r="G7" s="4">
        <v>11</v>
      </c>
      <c r="H7" s="30">
        <f t="shared" ref="H7:H15" si="1">F7-G7</f>
        <v>0</v>
      </c>
      <c r="I7" s="7">
        <v>2</v>
      </c>
      <c r="J7" s="4">
        <v>11</v>
      </c>
      <c r="K7" s="4">
        <v>11</v>
      </c>
      <c r="L7" s="30">
        <f t="shared" ref="L7:L15" si="2">J7-K7</f>
        <v>0</v>
      </c>
    </row>
    <row r="8" spans="1:12" x14ac:dyDescent="0.25">
      <c r="A8" s="7">
        <v>3</v>
      </c>
      <c r="B8" s="4">
        <v>13</v>
      </c>
      <c r="C8" s="4">
        <v>13</v>
      </c>
      <c r="D8" s="48">
        <f t="shared" si="0"/>
        <v>0</v>
      </c>
      <c r="E8" s="7">
        <v>3</v>
      </c>
      <c r="F8" s="4">
        <v>14</v>
      </c>
      <c r="G8" s="4">
        <v>13</v>
      </c>
      <c r="H8" s="30">
        <f t="shared" si="1"/>
        <v>1</v>
      </c>
      <c r="I8" s="7">
        <v>3</v>
      </c>
      <c r="J8" s="4">
        <v>13</v>
      </c>
      <c r="K8" s="4">
        <v>13</v>
      </c>
      <c r="L8" s="30">
        <f t="shared" si="2"/>
        <v>0</v>
      </c>
    </row>
    <row r="9" spans="1:12" x14ac:dyDescent="0.25">
      <c r="A9" s="7">
        <v>4</v>
      </c>
      <c r="B9" s="4">
        <v>16</v>
      </c>
      <c r="C9" s="4">
        <v>16</v>
      </c>
      <c r="D9" s="48">
        <f t="shared" si="0"/>
        <v>0</v>
      </c>
      <c r="E9" s="7">
        <v>4</v>
      </c>
      <c r="F9" s="4">
        <v>16</v>
      </c>
      <c r="G9" s="4">
        <v>16</v>
      </c>
      <c r="H9" s="30">
        <f t="shared" si="1"/>
        <v>0</v>
      </c>
      <c r="I9" s="7">
        <v>4</v>
      </c>
      <c r="J9" s="4">
        <v>16</v>
      </c>
      <c r="K9" s="4">
        <v>16</v>
      </c>
      <c r="L9" s="30">
        <f t="shared" si="2"/>
        <v>0</v>
      </c>
    </row>
    <row r="10" spans="1:12" x14ac:dyDescent="0.25">
      <c r="A10" s="7">
        <v>5</v>
      </c>
      <c r="B10" s="4">
        <v>14</v>
      </c>
      <c r="C10" s="4">
        <v>13.5</v>
      </c>
      <c r="D10" s="48">
        <f t="shared" si="0"/>
        <v>0.5</v>
      </c>
      <c r="E10" s="7">
        <v>5</v>
      </c>
      <c r="F10" s="4">
        <v>13</v>
      </c>
      <c r="G10" s="4">
        <v>14</v>
      </c>
      <c r="H10" s="30">
        <f t="shared" si="1"/>
        <v>-1</v>
      </c>
      <c r="I10" s="7">
        <v>5</v>
      </c>
      <c r="J10" s="4">
        <v>14</v>
      </c>
      <c r="K10" s="4">
        <v>14</v>
      </c>
      <c r="L10" s="30">
        <f t="shared" si="2"/>
        <v>0</v>
      </c>
    </row>
    <row r="11" spans="1:12" x14ac:dyDescent="0.25">
      <c r="A11" s="7">
        <v>6</v>
      </c>
      <c r="B11" s="4">
        <v>10</v>
      </c>
      <c r="C11" s="4">
        <v>10</v>
      </c>
      <c r="D11" s="48">
        <f t="shared" si="0"/>
        <v>0</v>
      </c>
      <c r="E11" s="7">
        <v>6</v>
      </c>
      <c r="F11" s="4">
        <v>10</v>
      </c>
      <c r="G11" s="4">
        <v>10</v>
      </c>
      <c r="H11" s="30">
        <f t="shared" si="1"/>
        <v>0</v>
      </c>
      <c r="I11" s="7">
        <v>6</v>
      </c>
      <c r="J11" s="4">
        <v>10</v>
      </c>
      <c r="K11" s="4">
        <v>10</v>
      </c>
      <c r="L11" s="30">
        <f t="shared" si="2"/>
        <v>0</v>
      </c>
    </row>
    <row r="12" spans="1:12" x14ac:dyDescent="0.25">
      <c r="A12" s="7">
        <v>7</v>
      </c>
      <c r="B12" s="4">
        <v>13</v>
      </c>
      <c r="C12" s="4">
        <v>13</v>
      </c>
      <c r="D12" s="48">
        <f t="shared" si="0"/>
        <v>0</v>
      </c>
      <c r="E12" s="7">
        <v>7</v>
      </c>
      <c r="F12" s="4">
        <v>13</v>
      </c>
      <c r="G12" s="4">
        <v>13</v>
      </c>
      <c r="H12" s="30">
        <f t="shared" si="1"/>
        <v>0</v>
      </c>
      <c r="I12" s="7">
        <v>7</v>
      </c>
      <c r="J12" s="4">
        <v>13</v>
      </c>
      <c r="K12" s="4">
        <v>13</v>
      </c>
      <c r="L12" s="30">
        <f t="shared" si="2"/>
        <v>0</v>
      </c>
    </row>
    <row r="13" spans="1:12" x14ac:dyDescent="0.25">
      <c r="A13" s="7">
        <v>8</v>
      </c>
      <c r="B13" s="4">
        <v>8</v>
      </c>
      <c r="C13" s="4">
        <v>8</v>
      </c>
      <c r="D13" s="48">
        <f t="shared" si="0"/>
        <v>0</v>
      </c>
      <c r="E13" s="7">
        <v>8</v>
      </c>
      <c r="F13" s="4">
        <v>8</v>
      </c>
      <c r="G13" s="4">
        <v>8</v>
      </c>
      <c r="H13" s="30">
        <f t="shared" si="1"/>
        <v>0</v>
      </c>
      <c r="I13" s="7">
        <v>8</v>
      </c>
      <c r="J13" s="4">
        <v>8</v>
      </c>
      <c r="K13" s="4">
        <v>8</v>
      </c>
      <c r="L13" s="30">
        <f t="shared" si="2"/>
        <v>0</v>
      </c>
    </row>
    <row r="14" spans="1:12" x14ac:dyDescent="0.25">
      <c r="A14" s="7">
        <v>9</v>
      </c>
      <c r="B14" s="4">
        <v>12</v>
      </c>
      <c r="C14" s="4">
        <v>12</v>
      </c>
      <c r="D14" s="48">
        <f t="shared" si="0"/>
        <v>0</v>
      </c>
      <c r="E14" s="7">
        <v>9</v>
      </c>
      <c r="F14" s="4">
        <v>12</v>
      </c>
      <c r="G14" s="4">
        <v>12</v>
      </c>
      <c r="H14" s="30">
        <f t="shared" si="1"/>
        <v>0</v>
      </c>
      <c r="I14" s="7">
        <v>9</v>
      </c>
      <c r="J14" s="4">
        <v>12</v>
      </c>
      <c r="K14" s="4">
        <v>12</v>
      </c>
      <c r="L14" s="30">
        <f t="shared" si="2"/>
        <v>0</v>
      </c>
    </row>
    <row r="15" spans="1:12" x14ac:dyDescent="0.25">
      <c r="A15" s="7">
        <v>10</v>
      </c>
      <c r="B15" s="4">
        <v>12.5</v>
      </c>
      <c r="C15" s="4">
        <v>12</v>
      </c>
      <c r="D15" s="48">
        <f t="shared" si="0"/>
        <v>0.5</v>
      </c>
      <c r="E15" s="7">
        <v>10</v>
      </c>
      <c r="F15" s="4">
        <v>12</v>
      </c>
      <c r="G15" s="4">
        <v>12.5</v>
      </c>
      <c r="H15" s="30">
        <f t="shared" si="1"/>
        <v>-0.5</v>
      </c>
      <c r="I15" s="7">
        <v>10</v>
      </c>
      <c r="J15" s="4">
        <v>13</v>
      </c>
      <c r="K15" s="4">
        <v>13</v>
      </c>
      <c r="L15" s="30">
        <f t="shared" si="2"/>
        <v>0</v>
      </c>
    </row>
    <row r="16" spans="1:12" x14ac:dyDescent="0.25">
      <c r="A16" s="23" t="s">
        <v>8</v>
      </c>
      <c r="B16" s="47">
        <f>SUM(B6:B15)</f>
        <v>119.5</v>
      </c>
      <c r="C16" s="4">
        <f>SUM(C6:C15)</f>
        <v>118.5</v>
      </c>
      <c r="D16" s="8">
        <f>SUM(D6:D15)</f>
        <v>1</v>
      </c>
      <c r="E16" s="23" t="s">
        <v>8</v>
      </c>
      <c r="F16" s="5">
        <f>SUM(F6:F15)</f>
        <v>119</v>
      </c>
      <c r="G16" s="5">
        <f>SUM(G6:G15)</f>
        <v>119.5</v>
      </c>
      <c r="H16" s="5">
        <f>SUM(H6:H15)</f>
        <v>-0.5</v>
      </c>
      <c r="I16" s="23" t="s">
        <v>8</v>
      </c>
      <c r="J16" s="5">
        <f>SUM(J6:J15)</f>
        <v>120</v>
      </c>
      <c r="K16" s="4">
        <f>SUM(K6:K15)</f>
        <v>120</v>
      </c>
      <c r="L16" s="30"/>
    </row>
    <row r="17" spans="1:12" ht="24" customHeight="1" x14ac:dyDescent="0.25">
      <c r="A17" s="9"/>
      <c r="B17" s="1"/>
      <c r="C17" s="1"/>
      <c r="D17" s="6"/>
      <c r="E17" s="9"/>
      <c r="F17" s="1"/>
      <c r="G17" s="1"/>
      <c r="H17" s="6"/>
      <c r="I17" s="9"/>
      <c r="J17" s="1"/>
      <c r="K17" s="1"/>
      <c r="L17" s="50">
        <f>SUM(L6:L16)</f>
        <v>0</v>
      </c>
    </row>
    <row r="18" spans="1:12" x14ac:dyDescent="0.25">
      <c r="A18" s="22" t="s">
        <v>9</v>
      </c>
      <c r="B18" s="28">
        <f>AVERAGE(B6:B15)</f>
        <v>11.95</v>
      </c>
      <c r="C18" s="28">
        <f>AVERAGE(C6:C15)</f>
        <v>11.85</v>
      </c>
      <c r="D18" s="49">
        <f>AVERAGE(D6:D15)</f>
        <v>0.1</v>
      </c>
      <c r="E18" s="22" t="s">
        <v>9</v>
      </c>
      <c r="F18" s="28">
        <f>AVERAGE(F6:F15)</f>
        <v>11.9</v>
      </c>
      <c r="G18" s="28">
        <f>AVERAGE(G6:G15)</f>
        <v>11.95</v>
      </c>
      <c r="H18" s="29">
        <f>AVERAGE(H6:H15)</f>
        <v>-0.05</v>
      </c>
      <c r="I18" s="22" t="s">
        <v>9</v>
      </c>
      <c r="J18" s="28">
        <f>AVERAGE(J6:J15)</f>
        <v>12</v>
      </c>
      <c r="K18" s="28">
        <f>AVERAGE(K6:K15)</f>
        <v>12</v>
      </c>
      <c r="L18" s="31">
        <f>AVERAGE(L6:L15)</f>
        <v>0</v>
      </c>
    </row>
    <row r="19" spans="1:12" x14ac:dyDescent="0.25">
      <c r="A19" s="75" t="s">
        <v>3</v>
      </c>
      <c r="B19" s="76"/>
      <c r="C19" s="77"/>
      <c r="D19" s="80">
        <f>(C18+B18)/2</f>
        <v>11.899999999999999</v>
      </c>
      <c r="E19" s="82" t="s">
        <v>10</v>
      </c>
      <c r="F19" s="76"/>
      <c r="G19" s="77"/>
      <c r="H19" s="80">
        <f>(F18+G18)/2</f>
        <v>11.925000000000001</v>
      </c>
      <c r="I19" s="82" t="s">
        <v>11</v>
      </c>
      <c r="J19" s="76"/>
      <c r="K19" s="77"/>
      <c r="L19" s="64">
        <f>(J18+K18)/2</f>
        <v>12</v>
      </c>
    </row>
    <row r="20" spans="1:12" ht="36" customHeight="1" x14ac:dyDescent="0.25">
      <c r="A20" s="75"/>
      <c r="B20" s="78"/>
      <c r="C20" s="79"/>
      <c r="D20" s="81"/>
      <c r="E20" s="82"/>
      <c r="F20" s="78"/>
      <c r="G20" s="79"/>
      <c r="H20" s="81"/>
      <c r="I20" s="82"/>
      <c r="J20" s="78"/>
      <c r="K20" s="79"/>
      <c r="L20" s="65"/>
    </row>
    <row r="21" spans="1:12" x14ac:dyDescent="0.25">
      <c r="A21" s="66" t="s">
        <v>15</v>
      </c>
      <c r="B21" s="11"/>
      <c r="C21" s="16"/>
      <c r="D21" s="21"/>
      <c r="E21" s="69" t="s">
        <v>16</v>
      </c>
      <c r="F21" s="11"/>
      <c r="G21" s="16"/>
      <c r="H21" s="16"/>
      <c r="I21" s="16"/>
      <c r="J21" s="16"/>
      <c r="K21" s="16"/>
      <c r="L21" s="24"/>
    </row>
    <row r="22" spans="1:12" x14ac:dyDescent="0.25">
      <c r="A22" s="67"/>
      <c r="B22" s="12"/>
      <c r="C22" s="20"/>
      <c r="D22" s="19"/>
      <c r="E22" s="70"/>
      <c r="F22" s="12"/>
      <c r="G22" s="18"/>
      <c r="H22" s="18"/>
      <c r="I22" s="18"/>
      <c r="J22" s="18"/>
      <c r="K22" s="18"/>
      <c r="L22" s="25"/>
    </row>
    <row r="23" spans="1:12" x14ac:dyDescent="0.25">
      <c r="A23" s="68"/>
      <c r="B23" s="13"/>
      <c r="C23" s="14"/>
      <c r="D23" s="51"/>
      <c r="E23" s="71"/>
      <c r="F23" s="13"/>
      <c r="G23" s="14"/>
      <c r="H23" s="14"/>
      <c r="I23" s="14"/>
      <c r="J23" s="14"/>
      <c r="K23" s="14"/>
      <c r="L23" s="32"/>
    </row>
    <row r="24" spans="1:12" x14ac:dyDescent="0.25">
      <c r="A24" s="66" t="s">
        <v>17</v>
      </c>
      <c r="B24" s="11"/>
      <c r="C24" s="16"/>
      <c r="D24" s="17"/>
      <c r="E24" s="72" t="s">
        <v>18</v>
      </c>
      <c r="F24" s="11"/>
      <c r="G24" s="16"/>
      <c r="H24" s="16"/>
      <c r="I24" s="16"/>
      <c r="J24" s="16"/>
      <c r="K24" s="16"/>
      <c r="L24" s="24"/>
    </row>
    <row r="25" spans="1:12" x14ac:dyDescent="0.25">
      <c r="A25" s="67"/>
      <c r="B25" s="12"/>
      <c r="C25" s="18"/>
      <c r="D25" s="33" t="s">
        <v>28</v>
      </c>
      <c r="E25" s="73"/>
      <c r="F25" s="12"/>
      <c r="G25" s="18"/>
      <c r="H25" s="18"/>
      <c r="I25" s="18"/>
      <c r="J25" s="18"/>
      <c r="K25" s="18"/>
      <c r="L25" s="25"/>
    </row>
    <row r="26" spans="1:12" ht="19.5" customHeight="1" x14ac:dyDescent="0.25">
      <c r="A26" s="68"/>
      <c r="B26" s="13"/>
      <c r="C26" s="14"/>
      <c r="D26" s="33" t="s">
        <v>27</v>
      </c>
      <c r="E26" s="74"/>
      <c r="F26" s="13"/>
      <c r="G26" s="14"/>
      <c r="H26" s="14"/>
      <c r="I26" s="14"/>
      <c r="J26" s="14"/>
      <c r="K26" s="14"/>
      <c r="L26" s="26"/>
    </row>
    <row r="27" spans="1:12" x14ac:dyDescent="0.25">
      <c r="A27" s="66" t="s">
        <v>19</v>
      </c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24"/>
    </row>
    <row r="28" spans="1:12" x14ac:dyDescent="0.25">
      <c r="A28" s="67"/>
      <c r="B28" s="12"/>
      <c r="C28" s="18"/>
      <c r="D28" s="18"/>
      <c r="E28" s="18"/>
      <c r="F28" s="18"/>
      <c r="G28" s="18"/>
      <c r="H28" s="18"/>
      <c r="I28" s="18"/>
      <c r="J28" s="18"/>
      <c r="K28" s="18"/>
      <c r="L28" s="25"/>
    </row>
    <row r="29" spans="1:12" x14ac:dyDescent="0.25">
      <c r="A29" s="68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26"/>
    </row>
    <row r="30" spans="1:12" x14ac:dyDescent="0.25">
      <c r="A30" s="66" t="s">
        <v>20</v>
      </c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24"/>
    </row>
    <row r="31" spans="1:12" x14ac:dyDescent="0.25">
      <c r="A31" s="67"/>
      <c r="B31" s="12"/>
      <c r="C31" s="18"/>
      <c r="D31" s="18"/>
      <c r="E31" s="18"/>
      <c r="F31" s="18"/>
      <c r="G31" s="18"/>
      <c r="H31" s="18"/>
      <c r="I31" s="18"/>
      <c r="J31" s="18"/>
      <c r="K31" s="18"/>
      <c r="L31" s="25"/>
    </row>
    <row r="32" spans="1:12" x14ac:dyDescent="0.25">
      <c r="A32" s="67"/>
      <c r="B32" s="12"/>
      <c r="C32" s="18"/>
      <c r="D32" s="18"/>
      <c r="E32" s="18"/>
      <c r="F32" s="18"/>
      <c r="G32" s="18"/>
      <c r="H32" s="18"/>
      <c r="I32" s="18"/>
      <c r="J32" s="18"/>
      <c r="K32" s="18"/>
      <c r="L32" s="25"/>
    </row>
    <row r="33" spans="1:12" x14ac:dyDescent="0.25">
      <c r="A33" s="68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26"/>
    </row>
    <row r="34" spans="1:12" x14ac:dyDescent="0.25">
      <c r="A34" s="83" t="s">
        <v>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4"/>
    </row>
    <row r="35" spans="1:12" ht="24" thickBot="1" x14ac:dyDescent="0.4">
      <c r="A35" s="84"/>
      <c r="B35" s="39" t="s">
        <v>35</v>
      </c>
      <c r="C35" s="38"/>
      <c r="D35" s="41" t="s">
        <v>22</v>
      </c>
      <c r="E35" s="44" t="s">
        <v>31</v>
      </c>
      <c r="F35" s="42"/>
      <c r="G35" s="38"/>
      <c r="H35" s="27" t="s">
        <v>32</v>
      </c>
      <c r="I35" s="43" t="s">
        <v>33</v>
      </c>
      <c r="J35" s="27"/>
      <c r="K35" s="38"/>
      <c r="L35" s="40" t="s">
        <v>34</v>
      </c>
    </row>
    <row r="37" spans="1:12" x14ac:dyDescent="0.25">
      <c r="A37" t="s">
        <v>29</v>
      </c>
    </row>
    <row r="38" spans="1:12" x14ac:dyDescent="0.25">
      <c r="A38" t="s">
        <v>30</v>
      </c>
    </row>
  </sheetData>
  <mergeCells count="28">
    <mergeCell ref="A27:A29"/>
    <mergeCell ref="A30:A33"/>
    <mergeCell ref="A34:A35"/>
    <mergeCell ref="I19:I20"/>
    <mergeCell ref="J19:K20"/>
    <mergeCell ref="L19:L20"/>
    <mergeCell ref="A21:A23"/>
    <mergeCell ref="E21:E23"/>
    <mergeCell ref="A24:A26"/>
    <mergeCell ref="E24:E26"/>
    <mergeCell ref="A19:A20"/>
    <mergeCell ref="B19:C20"/>
    <mergeCell ref="D19:D20"/>
    <mergeCell ref="E19:E20"/>
    <mergeCell ref="F19:G20"/>
    <mergeCell ref="H19:H20"/>
    <mergeCell ref="J4:K4"/>
    <mergeCell ref="A1:F1"/>
    <mergeCell ref="G1:L1"/>
    <mergeCell ref="A2:F2"/>
    <mergeCell ref="G2:L2"/>
    <mergeCell ref="A3:F3"/>
    <mergeCell ref="G3:L3"/>
    <mergeCell ref="A4:A5"/>
    <mergeCell ref="B4:C4"/>
    <mergeCell ref="E4:E5"/>
    <mergeCell ref="F4:G4"/>
    <mergeCell ref="I4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9"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</xdr:col>
                <xdr:colOff>171450</xdr:colOff>
                <xdr:row>20</xdr:row>
                <xdr:rowOff>38100</xdr:rowOff>
              </from>
              <to>
                <xdr:col>2</xdr:col>
                <xdr:colOff>66675</xdr:colOff>
                <xdr:row>22</xdr:row>
                <xdr:rowOff>95250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 sizeWithCells="1">
              <from>
                <xdr:col>5</xdr:col>
                <xdr:colOff>95250</xdr:colOff>
                <xdr:row>20</xdr:row>
                <xdr:rowOff>9525</xdr:rowOff>
              </from>
              <to>
                <xdr:col>6</xdr:col>
                <xdr:colOff>485775</xdr:colOff>
                <xdr:row>23</xdr:row>
                <xdr:rowOff>66675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8">
          <objectPr defaultSize="0" autoPict="0" r:id="rId9">
            <anchor moveWithCells="1" sizeWithCells="1">
              <from>
                <xdr:col>1</xdr:col>
                <xdr:colOff>28575</xdr:colOff>
                <xdr:row>23</xdr:row>
                <xdr:rowOff>171450</xdr:rowOff>
              </from>
              <to>
                <xdr:col>2</xdr:col>
                <xdr:colOff>514350</xdr:colOff>
                <xdr:row>25</xdr:row>
                <xdr:rowOff>114300</xdr:rowOff>
              </to>
            </anchor>
          </objectPr>
        </oleObject>
      </mc:Choice>
      <mc:Fallback>
        <oleObject progId="Equation.3" shapeId="2051" r:id="rId8"/>
      </mc:Fallback>
    </mc:AlternateContent>
    <mc:AlternateContent xmlns:mc="http://schemas.openxmlformats.org/markup-compatibility/2006">
      <mc:Choice Requires="x14">
        <oleObject progId="Equation.3" shapeId="2052" r:id="rId10">
          <objectPr defaultSize="0" autoPict="0" r:id="rId11">
            <anchor moveWithCells="1" sizeWithCells="1">
              <from>
                <xdr:col>5</xdr:col>
                <xdr:colOff>142875</xdr:colOff>
                <xdr:row>23</xdr:row>
                <xdr:rowOff>28575</xdr:rowOff>
              </from>
              <to>
                <xdr:col>7</xdr:col>
                <xdr:colOff>657225</xdr:colOff>
                <xdr:row>25</xdr:row>
                <xdr:rowOff>152400</xdr:rowOff>
              </to>
            </anchor>
          </objectPr>
        </oleObject>
      </mc:Choice>
      <mc:Fallback>
        <oleObject progId="Equation.3" shapeId="2052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C80A-5078-41F4-A571-DD87C0BD96B3}">
  <dimension ref="A1:M38"/>
  <sheetViews>
    <sheetView tabSelected="1" zoomScale="55" zoomScaleNormal="55" workbookViewId="0">
      <selection activeCell="N35" sqref="N35"/>
    </sheetView>
  </sheetViews>
  <sheetFormatPr defaultRowHeight="15" x14ac:dyDescent="0.25"/>
  <cols>
    <col min="1" max="1" width="12" customWidth="1"/>
    <col min="2" max="2" width="12.85546875" customWidth="1"/>
    <col min="3" max="3" width="11.140625" customWidth="1"/>
    <col min="4" max="4" width="13.7109375" bestFit="1" customWidth="1"/>
    <col min="6" max="6" width="10.42578125" customWidth="1"/>
    <col min="7" max="7" width="10.7109375" customWidth="1"/>
    <col min="8" max="8" width="13.7109375" bestFit="1" customWidth="1"/>
    <col min="10" max="10" width="12.7109375" customWidth="1"/>
    <col min="11" max="11" width="17.28515625" bestFit="1" customWidth="1"/>
    <col min="12" max="12" width="25.5703125" customWidth="1"/>
    <col min="13" max="13" width="16.140625" customWidth="1"/>
  </cols>
  <sheetData>
    <row r="1" spans="1:12" x14ac:dyDescent="0.25">
      <c r="A1" s="54" t="s">
        <v>2</v>
      </c>
      <c r="B1" s="55"/>
      <c r="C1" s="55"/>
      <c r="D1" s="55"/>
      <c r="E1" s="55"/>
      <c r="F1" s="55"/>
      <c r="G1" s="55" t="s">
        <v>12</v>
      </c>
      <c r="H1" s="55"/>
      <c r="I1" s="55"/>
      <c r="J1" s="55"/>
      <c r="K1" s="55"/>
      <c r="L1" s="56"/>
    </row>
    <row r="2" spans="1:12" x14ac:dyDescent="0.25">
      <c r="A2" s="57" t="s">
        <v>1</v>
      </c>
      <c r="B2" s="58"/>
      <c r="C2" s="58"/>
      <c r="D2" s="58"/>
      <c r="E2" s="58"/>
      <c r="F2" s="58"/>
      <c r="G2" s="58" t="s">
        <v>13</v>
      </c>
      <c r="H2" s="58"/>
      <c r="I2" s="58"/>
      <c r="J2" s="58"/>
      <c r="K2" s="58"/>
      <c r="L2" s="59"/>
    </row>
    <row r="3" spans="1:12" x14ac:dyDescent="0.25">
      <c r="A3" s="57" t="s">
        <v>0</v>
      </c>
      <c r="B3" s="58"/>
      <c r="C3" s="58"/>
      <c r="D3" s="58"/>
      <c r="E3" s="58"/>
      <c r="F3" s="58"/>
      <c r="G3" s="58" t="s">
        <v>14</v>
      </c>
      <c r="H3" s="58"/>
      <c r="I3" s="58"/>
      <c r="J3" s="58"/>
      <c r="K3" s="58"/>
      <c r="L3" s="59"/>
    </row>
    <row r="4" spans="1:12" x14ac:dyDescent="0.25">
      <c r="A4" s="62" t="s">
        <v>3</v>
      </c>
      <c r="B4" s="52" t="s">
        <v>4</v>
      </c>
      <c r="C4" s="53"/>
      <c r="D4" s="86" t="s">
        <v>37</v>
      </c>
      <c r="E4" s="62" t="s">
        <v>10</v>
      </c>
      <c r="F4" s="52" t="s">
        <v>4</v>
      </c>
      <c r="G4" s="53"/>
      <c r="H4" s="86" t="s">
        <v>38</v>
      </c>
      <c r="I4" s="62" t="s">
        <v>11</v>
      </c>
      <c r="J4" s="52" t="s">
        <v>4</v>
      </c>
      <c r="K4" s="53"/>
      <c r="L4" s="86" t="s">
        <v>39</v>
      </c>
    </row>
    <row r="5" spans="1:12" ht="29.25" customHeight="1" x14ac:dyDescent="0.25">
      <c r="A5" s="63"/>
      <c r="B5" s="2" t="s">
        <v>5</v>
      </c>
      <c r="C5" s="2" t="s">
        <v>6</v>
      </c>
      <c r="D5" s="6" t="s">
        <v>7</v>
      </c>
      <c r="E5" s="63"/>
      <c r="F5" s="2" t="s">
        <v>5</v>
      </c>
      <c r="G5" s="2" t="s">
        <v>6</v>
      </c>
      <c r="H5" s="6" t="s">
        <v>7</v>
      </c>
      <c r="I5" s="63"/>
      <c r="J5" s="2" t="s">
        <v>5</v>
      </c>
      <c r="K5" s="2" t="s">
        <v>6</v>
      </c>
      <c r="L5" s="6" t="s">
        <v>7</v>
      </c>
    </row>
    <row r="6" spans="1:12" x14ac:dyDescent="0.25">
      <c r="A6" s="34">
        <v>1</v>
      </c>
      <c r="B6" s="1">
        <v>114.958</v>
      </c>
      <c r="C6" s="1">
        <v>114.958</v>
      </c>
      <c r="D6" s="88">
        <f>ABS(B6-C6)</f>
        <v>0</v>
      </c>
      <c r="E6" s="34">
        <v>1</v>
      </c>
      <c r="F6" s="1">
        <v>114.962</v>
      </c>
      <c r="G6" s="1">
        <v>114.961</v>
      </c>
      <c r="H6" s="88">
        <f>ABS(F6-G6)</f>
        <v>1.0000000000047748E-3</v>
      </c>
      <c r="I6" s="34">
        <v>1</v>
      </c>
      <c r="J6" s="1">
        <v>114.958</v>
      </c>
      <c r="K6" s="1">
        <v>114.958</v>
      </c>
      <c r="L6" s="88">
        <f>ABS(J6-K6)</f>
        <v>0</v>
      </c>
    </row>
    <row r="7" spans="1:12" x14ac:dyDescent="0.25">
      <c r="A7" s="34">
        <v>2</v>
      </c>
      <c r="B7" s="1">
        <v>114.95699999999999</v>
      </c>
      <c r="C7" s="1">
        <v>114.958</v>
      </c>
      <c r="D7" s="88">
        <f t="shared" ref="D7:D15" si="0">ABS(B7-C7)</f>
        <v>1.0000000000047748E-3</v>
      </c>
      <c r="E7" s="34">
        <v>2</v>
      </c>
      <c r="F7" s="1">
        <v>114.956</v>
      </c>
      <c r="G7" s="1">
        <v>114.95699999999999</v>
      </c>
      <c r="H7" s="88">
        <f t="shared" ref="H7:H15" si="1">ABS(F7-G7)</f>
        <v>9.9999999999056399E-4</v>
      </c>
      <c r="I7" s="34">
        <v>2</v>
      </c>
      <c r="J7" s="1">
        <v>114.96</v>
      </c>
      <c r="K7" s="1">
        <v>114.958</v>
      </c>
      <c r="L7" s="88">
        <f t="shared" ref="L7:L15" si="2">ABS(J7-K7)</f>
        <v>1.9999999999953388E-3</v>
      </c>
    </row>
    <row r="8" spans="1:12" x14ac:dyDescent="0.25">
      <c r="A8" s="34">
        <v>3</v>
      </c>
      <c r="B8" s="1">
        <v>114.962</v>
      </c>
      <c r="C8" s="1">
        <v>114.953</v>
      </c>
      <c r="D8" s="88">
        <f t="shared" si="0"/>
        <v>9.0000000000003411E-3</v>
      </c>
      <c r="E8" s="34">
        <v>3</v>
      </c>
      <c r="F8" s="1">
        <v>114.96299999999999</v>
      </c>
      <c r="G8" s="1">
        <v>114.96299999999999</v>
      </c>
      <c r="H8" s="88">
        <f t="shared" si="1"/>
        <v>0</v>
      </c>
      <c r="I8" s="34">
        <v>3</v>
      </c>
      <c r="J8" s="1">
        <v>114.965</v>
      </c>
      <c r="K8" s="1">
        <v>114.964</v>
      </c>
      <c r="L8" s="88">
        <f t="shared" si="2"/>
        <v>1.0000000000047748E-3</v>
      </c>
    </row>
    <row r="9" spans="1:12" x14ac:dyDescent="0.25">
      <c r="A9" s="34">
        <v>4</v>
      </c>
      <c r="B9" s="1">
        <v>114.96299999999999</v>
      </c>
      <c r="C9" s="1">
        <v>114.965</v>
      </c>
      <c r="D9" s="88">
        <f t="shared" si="0"/>
        <v>2.0000000000095497E-3</v>
      </c>
      <c r="E9" s="34">
        <v>4</v>
      </c>
      <c r="F9" s="1">
        <v>114.965</v>
      </c>
      <c r="G9" s="1">
        <v>114.96599999999999</v>
      </c>
      <c r="H9" s="88">
        <f t="shared" si="1"/>
        <v>9.9999999999056399E-4</v>
      </c>
      <c r="I9" s="34">
        <v>4</v>
      </c>
      <c r="J9" s="1">
        <v>114.96599999999999</v>
      </c>
      <c r="K9" s="1">
        <v>114.965</v>
      </c>
      <c r="L9" s="88">
        <f t="shared" si="2"/>
        <v>9.9999999999056399E-4</v>
      </c>
    </row>
    <row r="10" spans="1:12" x14ac:dyDescent="0.25">
      <c r="A10" s="34">
        <v>5</v>
      </c>
      <c r="B10" s="1">
        <v>114.965</v>
      </c>
      <c r="C10" s="1">
        <v>114.967</v>
      </c>
      <c r="D10" s="88">
        <f t="shared" si="0"/>
        <v>1.9999999999953388E-3</v>
      </c>
      <c r="E10" s="34">
        <v>5</v>
      </c>
      <c r="F10" s="1">
        <v>114.96599999999999</v>
      </c>
      <c r="G10" s="1">
        <v>114.967</v>
      </c>
      <c r="H10" s="88">
        <f t="shared" si="1"/>
        <v>1.0000000000047748E-3</v>
      </c>
      <c r="I10" s="34">
        <v>5</v>
      </c>
      <c r="J10" s="1">
        <v>114.967</v>
      </c>
      <c r="K10" s="1">
        <v>114.96599999999999</v>
      </c>
      <c r="L10" s="88">
        <f t="shared" si="2"/>
        <v>1.0000000000047748E-3</v>
      </c>
    </row>
    <row r="11" spans="1:12" x14ac:dyDescent="0.25">
      <c r="A11" s="34">
        <v>6</v>
      </c>
      <c r="B11" s="37">
        <v>114.96299999999999</v>
      </c>
      <c r="C11" s="37">
        <v>114.962</v>
      </c>
      <c r="D11" s="88">
        <f t="shared" si="0"/>
        <v>9.9999999999056399E-4</v>
      </c>
      <c r="E11" s="34">
        <v>6</v>
      </c>
      <c r="F11" s="37">
        <v>114.965</v>
      </c>
      <c r="G11" s="37">
        <v>114.96299999999999</v>
      </c>
      <c r="H11" s="88">
        <f t="shared" si="1"/>
        <v>2.0000000000095497E-3</v>
      </c>
      <c r="I11" s="34">
        <v>6</v>
      </c>
      <c r="J11" s="37">
        <v>114.964</v>
      </c>
      <c r="K11" s="37">
        <v>114.965</v>
      </c>
      <c r="L11" s="88">
        <f t="shared" si="2"/>
        <v>1.0000000000047748E-3</v>
      </c>
    </row>
    <row r="12" spans="1:12" x14ac:dyDescent="0.25">
      <c r="A12" s="34">
        <v>7</v>
      </c>
      <c r="B12" s="37">
        <v>114.967</v>
      </c>
      <c r="C12" s="37">
        <v>114.967</v>
      </c>
      <c r="D12" s="88">
        <f t="shared" si="0"/>
        <v>0</v>
      </c>
      <c r="E12" s="34">
        <v>7</v>
      </c>
      <c r="F12" s="37">
        <v>114.96899999999999</v>
      </c>
      <c r="G12" s="37">
        <v>114.97</v>
      </c>
      <c r="H12" s="88">
        <f t="shared" si="1"/>
        <v>1.0000000000047748E-3</v>
      </c>
      <c r="I12" s="34">
        <v>7</v>
      </c>
      <c r="J12" s="37">
        <v>114.97</v>
      </c>
      <c r="K12" s="37">
        <v>114.96899999999999</v>
      </c>
      <c r="L12" s="88">
        <f t="shared" si="2"/>
        <v>1.0000000000047748E-3</v>
      </c>
    </row>
    <row r="13" spans="1:12" x14ac:dyDescent="0.25">
      <c r="A13" s="34">
        <v>8</v>
      </c>
      <c r="B13" s="37">
        <v>114.96299999999999</v>
      </c>
      <c r="C13" s="37">
        <v>114.968</v>
      </c>
      <c r="D13" s="88">
        <f t="shared" si="0"/>
        <v>5.0000000000096634E-3</v>
      </c>
      <c r="E13" s="34">
        <v>8</v>
      </c>
      <c r="F13" s="37">
        <v>114.97</v>
      </c>
      <c r="G13" s="37">
        <v>114.968</v>
      </c>
      <c r="H13" s="88">
        <f t="shared" si="1"/>
        <v>1.9999999999953388E-3</v>
      </c>
      <c r="I13" s="34">
        <v>8</v>
      </c>
      <c r="J13" s="37">
        <v>114.97</v>
      </c>
      <c r="K13" s="37">
        <v>114.971</v>
      </c>
      <c r="L13" s="88">
        <f t="shared" si="2"/>
        <v>1.0000000000047748E-3</v>
      </c>
    </row>
    <row r="14" spans="1:12" x14ac:dyDescent="0.25">
      <c r="A14" s="34">
        <v>9</v>
      </c>
      <c r="B14" s="37">
        <v>114.953</v>
      </c>
      <c r="C14" s="37">
        <v>114.953</v>
      </c>
      <c r="D14" s="88">
        <f t="shared" si="0"/>
        <v>0</v>
      </c>
      <c r="E14" s="34">
        <v>9</v>
      </c>
      <c r="F14" s="37">
        <v>114.955</v>
      </c>
      <c r="G14" s="37">
        <v>114.955</v>
      </c>
      <c r="H14" s="88">
        <f t="shared" si="1"/>
        <v>0</v>
      </c>
      <c r="I14" s="34">
        <v>9</v>
      </c>
      <c r="J14" s="37">
        <v>114.955</v>
      </c>
      <c r="K14" s="37">
        <v>114.955</v>
      </c>
      <c r="L14" s="88">
        <f t="shared" si="2"/>
        <v>0</v>
      </c>
    </row>
    <row r="15" spans="1:12" x14ac:dyDescent="0.25">
      <c r="A15" s="34">
        <v>10</v>
      </c>
      <c r="B15" s="37">
        <v>114.967</v>
      </c>
      <c r="C15" s="37">
        <v>114.96599999999999</v>
      </c>
      <c r="D15" s="88">
        <f t="shared" si="0"/>
        <v>1.0000000000047748E-3</v>
      </c>
      <c r="E15" s="34">
        <v>10</v>
      </c>
      <c r="F15" s="37">
        <v>114.965</v>
      </c>
      <c r="G15" s="37">
        <v>114.964</v>
      </c>
      <c r="H15" s="88">
        <f t="shared" si="1"/>
        <v>1.0000000000047748E-3</v>
      </c>
      <c r="I15" s="34">
        <v>10</v>
      </c>
      <c r="J15" s="37">
        <v>114.96599999999999</v>
      </c>
      <c r="K15" s="37">
        <v>114.967</v>
      </c>
      <c r="L15" s="88">
        <f t="shared" si="2"/>
        <v>1.0000000000047748E-3</v>
      </c>
    </row>
    <row r="16" spans="1:12" x14ac:dyDescent="0.25">
      <c r="A16" s="23" t="s">
        <v>8</v>
      </c>
      <c r="B16" s="35">
        <f>SUM(B6:B15)</f>
        <v>1149.6180000000002</v>
      </c>
      <c r="C16" s="36">
        <f>SUM(C6:C15)</f>
        <v>1149.617</v>
      </c>
      <c r="D16" s="8">
        <f>ABS(B16-C16)</f>
        <v>1.0000000002037268E-3</v>
      </c>
      <c r="E16" s="23" t="s">
        <v>8</v>
      </c>
      <c r="F16" s="35">
        <f>SUM(F6:F15)</f>
        <v>1149.636</v>
      </c>
      <c r="G16" s="36">
        <f>SUM(G6:G15)</f>
        <v>1149.6339999999998</v>
      </c>
      <c r="H16" s="87">
        <f>ABS(F16-G16)</f>
        <v>2.00000000018008E-3</v>
      </c>
      <c r="I16" s="23" t="s">
        <v>8</v>
      </c>
      <c r="J16" s="35">
        <f>SUM(J6:J15)</f>
        <v>1149.6409999999998</v>
      </c>
      <c r="K16" s="36">
        <f>SUM(K6:K15)</f>
        <v>1149.6380000000001</v>
      </c>
      <c r="L16" s="8">
        <f>ABS(J16-K16)</f>
        <v>2.9999999997016857E-3</v>
      </c>
    </row>
    <row r="17" spans="1:13" ht="24" customHeight="1" x14ac:dyDescent="0.25">
      <c r="A17" s="9"/>
      <c r="B17" s="1"/>
      <c r="C17" s="1"/>
      <c r="D17" s="6"/>
      <c r="E17" s="9"/>
      <c r="F17" s="1"/>
      <c r="G17" s="1"/>
      <c r="H17" s="6"/>
      <c r="I17" s="9"/>
      <c r="J17" s="1"/>
      <c r="K17" s="1"/>
      <c r="L17" s="6"/>
    </row>
    <row r="18" spans="1:13" x14ac:dyDescent="0.25">
      <c r="A18" s="22" t="s">
        <v>9</v>
      </c>
      <c r="B18" s="85">
        <f>AVERAGE(B6:B15)</f>
        <v>114.96180000000001</v>
      </c>
      <c r="C18" s="85">
        <f>AVERAGE(C6:C15)</f>
        <v>114.96169999999999</v>
      </c>
      <c r="D18" s="85">
        <f>AVERAGE(D6:D15)</f>
        <v>2.1000000000015008E-3</v>
      </c>
      <c r="E18" s="46" t="s">
        <v>9</v>
      </c>
      <c r="F18" s="85">
        <f>AVERAGE(F6:F15)</f>
        <v>114.9636</v>
      </c>
      <c r="G18" s="85">
        <f t="shared" ref="G18:H18" si="3">AVERAGE(G6:G15)</f>
        <v>114.96339999999998</v>
      </c>
      <c r="H18" s="85">
        <f t="shared" si="3"/>
        <v>1.0000000000005115E-3</v>
      </c>
      <c r="I18" s="46" t="s">
        <v>9</v>
      </c>
      <c r="J18" s="85">
        <f>AVERAGE(J6:J15)</f>
        <v>114.96409999999999</v>
      </c>
      <c r="K18" s="85">
        <f t="shared" ref="K18:L18" si="4">AVERAGE(K6:K15)</f>
        <v>114.96380000000002</v>
      </c>
      <c r="L18" s="85">
        <f t="shared" si="4"/>
        <v>9.0000000000145519E-4</v>
      </c>
    </row>
    <row r="19" spans="1:13" x14ac:dyDescent="0.25">
      <c r="A19" s="75" t="s">
        <v>3</v>
      </c>
      <c r="B19" s="76"/>
      <c r="C19" s="77"/>
      <c r="D19" s="89">
        <f>(B18+C18)/2</f>
        <v>114.96174999999999</v>
      </c>
      <c r="E19" s="82" t="s">
        <v>10</v>
      </c>
      <c r="F19" s="76"/>
      <c r="G19" s="77"/>
      <c r="H19" s="89">
        <f>(F18+G18)/2</f>
        <v>114.96349999999998</v>
      </c>
      <c r="I19" s="82" t="s">
        <v>11</v>
      </c>
      <c r="J19" s="76"/>
      <c r="K19" s="77"/>
      <c r="L19" s="89">
        <f>(J18+K18)/2</f>
        <v>114.96395000000001</v>
      </c>
    </row>
    <row r="20" spans="1:13" ht="36" customHeight="1" x14ac:dyDescent="0.25">
      <c r="A20" s="75"/>
      <c r="B20" s="78"/>
      <c r="C20" s="79"/>
      <c r="D20" s="90"/>
      <c r="E20" s="82"/>
      <c r="F20" s="78"/>
      <c r="G20" s="79"/>
      <c r="H20" s="90"/>
      <c r="I20" s="82"/>
      <c r="J20" s="78"/>
      <c r="K20" s="79"/>
      <c r="L20" s="90"/>
      <c r="M20" s="94"/>
    </row>
    <row r="21" spans="1:13" x14ac:dyDescent="0.25">
      <c r="A21" s="66" t="s">
        <v>15</v>
      </c>
      <c r="B21" s="11"/>
      <c r="C21" s="16"/>
      <c r="D21" s="21"/>
      <c r="E21" s="69" t="s">
        <v>16</v>
      </c>
      <c r="F21" s="11"/>
      <c r="G21" s="16"/>
      <c r="H21" s="16"/>
      <c r="I21" s="16"/>
      <c r="J21" s="16"/>
      <c r="K21" s="16"/>
      <c r="L21" s="24"/>
      <c r="M21" s="94"/>
    </row>
    <row r="22" spans="1:13" x14ac:dyDescent="0.25">
      <c r="A22" s="67"/>
      <c r="B22" s="12"/>
      <c r="C22" s="20"/>
      <c r="D22" s="19"/>
      <c r="E22" s="70"/>
      <c r="F22" s="12"/>
      <c r="G22" s="18"/>
      <c r="H22" s="18"/>
      <c r="I22" s="18"/>
      <c r="J22" s="18"/>
      <c r="K22" s="18"/>
      <c r="L22" s="25"/>
      <c r="M22" s="94"/>
    </row>
    <row r="23" spans="1:13" x14ac:dyDescent="0.25">
      <c r="A23" s="68"/>
      <c r="B23" s="13"/>
      <c r="C23" s="14"/>
      <c r="D23" s="91">
        <f>(D18+H18+L18)/3</f>
        <v>1.3333333333344893E-3</v>
      </c>
      <c r="E23" s="71"/>
      <c r="F23" s="13"/>
      <c r="G23" s="14"/>
      <c r="H23" s="14"/>
      <c r="I23" s="14"/>
      <c r="J23" s="14"/>
      <c r="K23" s="14"/>
      <c r="L23" s="92">
        <f>(D23/1.128)^2</f>
        <v>1.3972022422325815E-6</v>
      </c>
      <c r="M23" s="95">
        <f>(D25/1.128)^2</f>
        <v>3.4659348122215756E-6</v>
      </c>
    </row>
    <row r="24" spans="1:13" x14ac:dyDescent="0.25">
      <c r="A24" s="66" t="s">
        <v>17</v>
      </c>
      <c r="B24" s="11"/>
      <c r="C24" s="16"/>
      <c r="D24" s="17"/>
      <c r="E24" s="72" t="s">
        <v>18</v>
      </c>
      <c r="F24" s="11"/>
      <c r="G24" s="16"/>
      <c r="H24" s="16"/>
      <c r="I24" s="16"/>
      <c r="J24" s="16"/>
      <c r="K24" s="16"/>
      <c r="L24" s="24"/>
      <c r="M24" s="95">
        <f>L23/20</f>
        <v>6.986011211162907E-8</v>
      </c>
    </row>
    <row r="25" spans="1:13" x14ac:dyDescent="0.25">
      <c r="A25" s="67"/>
      <c r="B25" s="12"/>
      <c r="C25" s="18"/>
      <c r="D25" s="93">
        <f>K18-C18</f>
        <v>2.1000000000270802E-3</v>
      </c>
      <c r="E25" s="73"/>
      <c r="F25" s="12"/>
      <c r="G25" s="18"/>
      <c r="H25" s="18"/>
      <c r="I25" s="18"/>
      <c r="J25" s="18"/>
      <c r="K25" s="18"/>
      <c r="L25" s="25"/>
      <c r="M25" s="95">
        <f>M23-M24</f>
        <v>3.3960747001099467E-6</v>
      </c>
    </row>
    <row r="26" spans="1:13" x14ac:dyDescent="0.25">
      <c r="A26" s="68"/>
      <c r="B26" s="13"/>
      <c r="C26" s="14"/>
      <c r="D26" s="15"/>
      <c r="E26" s="74"/>
      <c r="F26" s="13"/>
      <c r="G26" s="14"/>
      <c r="H26" s="14"/>
      <c r="I26" s="14"/>
      <c r="J26" s="14"/>
      <c r="K26" s="14"/>
      <c r="L26" s="26"/>
      <c r="M26" s="95">
        <f>((D25/1.128)^2)-((L23/(2*10)))</f>
        <v>3.3960747001099467E-6</v>
      </c>
    </row>
    <row r="27" spans="1:13" x14ac:dyDescent="0.25">
      <c r="A27" s="66" t="s">
        <v>19</v>
      </c>
      <c r="B27" s="11"/>
      <c r="C27" s="16"/>
      <c r="D27" s="16"/>
      <c r="E27" s="16"/>
      <c r="F27" s="16"/>
      <c r="G27" s="16"/>
      <c r="H27" s="16"/>
      <c r="I27" s="16"/>
      <c r="J27" s="16"/>
      <c r="K27" s="16"/>
      <c r="L27" s="24"/>
      <c r="M27" s="94"/>
    </row>
    <row r="28" spans="1:13" x14ac:dyDescent="0.25">
      <c r="A28" s="67"/>
      <c r="B28" s="12"/>
      <c r="C28" s="18"/>
      <c r="D28" s="18"/>
      <c r="E28" s="18"/>
      <c r="F28" s="18"/>
      <c r="G28" s="18"/>
      <c r="H28" s="18"/>
      <c r="I28" s="18"/>
      <c r="J28" s="18"/>
      <c r="K28" s="18"/>
      <c r="L28" s="25"/>
      <c r="M28" s="94"/>
    </row>
    <row r="29" spans="1:13" x14ac:dyDescent="0.25">
      <c r="A29" s="68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93">
        <f>SQRT(L23+M26)</f>
        <v>2.1893553714147293E-3</v>
      </c>
      <c r="M29" s="95">
        <f>L23+M26</f>
        <v>4.7932769423425282E-6</v>
      </c>
    </row>
    <row r="30" spans="1:13" x14ac:dyDescent="0.25">
      <c r="A30" s="66" t="s">
        <v>20</v>
      </c>
      <c r="B30" s="11"/>
      <c r="C30" s="16"/>
      <c r="D30" s="16"/>
      <c r="E30" s="16"/>
      <c r="F30" s="16"/>
      <c r="G30" s="16"/>
      <c r="H30" s="16"/>
      <c r="I30" s="16"/>
      <c r="J30" s="16"/>
      <c r="K30" s="16"/>
      <c r="L30" s="24"/>
      <c r="M30" s="94">
        <f>SQRT(M29)</f>
        <v>2.1893553714147293E-3</v>
      </c>
    </row>
    <row r="31" spans="1:13" x14ac:dyDescent="0.25">
      <c r="A31" s="67"/>
      <c r="B31" s="12"/>
      <c r="C31" s="18"/>
      <c r="D31" s="18"/>
      <c r="E31" s="18"/>
      <c r="F31" s="18"/>
      <c r="G31" s="18"/>
      <c r="H31" s="18"/>
      <c r="I31" s="18"/>
      <c r="J31" s="18"/>
      <c r="K31" s="18"/>
      <c r="L31" s="25"/>
      <c r="M31" s="94"/>
    </row>
    <row r="32" spans="1:13" x14ac:dyDescent="0.25">
      <c r="A32" s="67"/>
      <c r="B32" s="12"/>
      <c r="C32" s="18"/>
      <c r="D32" s="18"/>
      <c r="E32" s="18"/>
      <c r="F32" s="18"/>
      <c r="G32" s="18"/>
      <c r="H32" s="18"/>
      <c r="I32" s="18"/>
      <c r="J32" s="18"/>
      <c r="K32" s="18"/>
      <c r="L32" s="25"/>
      <c r="M32" s="94"/>
    </row>
    <row r="33" spans="1:13" ht="21" x14ac:dyDescent="0.35">
      <c r="A33" s="68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97">
        <f>(6*L29)/(10)</f>
        <v>1.3136132228488376E-3</v>
      </c>
      <c r="M33" s="96">
        <f>L33</f>
        <v>1.3136132228488376E-3</v>
      </c>
    </row>
    <row r="34" spans="1:13" x14ac:dyDescent="0.25">
      <c r="A34" s="83" t="s">
        <v>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4"/>
      <c r="M34" s="94"/>
    </row>
    <row r="35" spans="1:13" ht="36.75" thickBot="1" x14ac:dyDescent="0.6">
      <c r="A35" s="84"/>
      <c r="B35" s="102" t="s">
        <v>35</v>
      </c>
      <c r="C35" s="100" t="s">
        <v>36</v>
      </c>
      <c r="D35" s="103" t="s">
        <v>22</v>
      </c>
      <c r="E35" s="101" t="s">
        <v>31</v>
      </c>
      <c r="F35" s="42"/>
      <c r="G35" s="98"/>
      <c r="H35" s="104" t="s">
        <v>32</v>
      </c>
      <c r="I35" s="27"/>
      <c r="J35" s="45" t="s">
        <v>33</v>
      </c>
      <c r="K35" s="99"/>
      <c r="L35" s="105" t="s">
        <v>40</v>
      </c>
      <c r="M35" s="94"/>
    </row>
    <row r="37" spans="1:13" x14ac:dyDescent="0.25">
      <c r="A37" t="s">
        <v>29</v>
      </c>
    </row>
    <row r="38" spans="1:13" x14ac:dyDescent="0.25">
      <c r="A38" t="s">
        <v>30</v>
      </c>
    </row>
  </sheetData>
  <mergeCells count="28">
    <mergeCell ref="J4:K4"/>
    <mergeCell ref="A1:F1"/>
    <mergeCell ref="G1:L1"/>
    <mergeCell ref="A2:F2"/>
    <mergeCell ref="G2:L2"/>
    <mergeCell ref="A3:F3"/>
    <mergeCell ref="G3:L3"/>
    <mergeCell ref="A4:A5"/>
    <mergeCell ref="B4:C4"/>
    <mergeCell ref="E4:E5"/>
    <mergeCell ref="F4:G4"/>
    <mergeCell ref="I4:I5"/>
    <mergeCell ref="L19:L20"/>
    <mergeCell ref="A21:A23"/>
    <mergeCell ref="E21:E23"/>
    <mergeCell ref="A24:A26"/>
    <mergeCell ref="E24:E26"/>
    <mergeCell ref="A19:A20"/>
    <mergeCell ref="B19:C20"/>
    <mergeCell ref="D19:D20"/>
    <mergeCell ref="E19:E20"/>
    <mergeCell ref="F19:G20"/>
    <mergeCell ref="H19:H20"/>
    <mergeCell ref="A27:A29"/>
    <mergeCell ref="A30:A33"/>
    <mergeCell ref="A34:A35"/>
    <mergeCell ref="I19:I20"/>
    <mergeCell ref="J19:K20"/>
  </mergeCells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quation.3" shapeId="7169" r:id="rId3">
          <objectPr defaultSize="0" autoPict="0" r:id="rId4">
            <anchor moveWithCells="1" sizeWithCells="1">
              <from>
                <xdr:col>1</xdr:col>
                <xdr:colOff>171450</xdr:colOff>
                <xdr:row>20</xdr:row>
                <xdr:rowOff>38100</xdr:rowOff>
              </from>
              <to>
                <xdr:col>2</xdr:col>
                <xdr:colOff>66675</xdr:colOff>
                <xdr:row>22</xdr:row>
                <xdr:rowOff>95250</xdr:rowOff>
              </to>
            </anchor>
          </objectPr>
        </oleObject>
      </mc:Choice>
      <mc:Fallback>
        <oleObject progId="Equation.3" shapeId="7169" r:id="rId3"/>
      </mc:Fallback>
    </mc:AlternateContent>
    <mc:AlternateContent xmlns:mc="http://schemas.openxmlformats.org/markup-compatibility/2006">
      <mc:Choice Requires="x14">
        <oleObject progId="Equation.3" shapeId="7170" r:id="rId5">
          <objectPr defaultSize="0" autoPict="0" r:id="rId6">
            <anchor moveWithCells="1" sizeWithCells="1">
              <from>
                <xdr:col>5</xdr:col>
                <xdr:colOff>95250</xdr:colOff>
                <xdr:row>20</xdr:row>
                <xdr:rowOff>9525</xdr:rowOff>
              </from>
              <to>
                <xdr:col>6</xdr:col>
                <xdr:colOff>485775</xdr:colOff>
                <xdr:row>23</xdr:row>
                <xdr:rowOff>66675</xdr:rowOff>
              </to>
            </anchor>
          </objectPr>
        </oleObject>
      </mc:Choice>
      <mc:Fallback>
        <oleObject progId="Equation.3" shapeId="7170" r:id="rId5"/>
      </mc:Fallback>
    </mc:AlternateContent>
    <mc:AlternateContent xmlns:mc="http://schemas.openxmlformats.org/markup-compatibility/2006">
      <mc:Choice Requires="x14">
        <oleObject progId="Equation.3" shapeId="7171" r:id="rId7">
          <objectPr defaultSize="0" autoPict="0" r:id="rId8">
            <anchor moveWithCells="1" sizeWithCells="1">
              <from>
                <xdr:col>1</xdr:col>
                <xdr:colOff>28575</xdr:colOff>
                <xdr:row>23</xdr:row>
                <xdr:rowOff>171450</xdr:rowOff>
              </from>
              <to>
                <xdr:col>2</xdr:col>
                <xdr:colOff>514350</xdr:colOff>
                <xdr:row>25</xdr:row>
                <xdr:rowOff>114300</xdr:rowOff>
              </to>
            </anchor>
          </objectPr>
        </oleObject>
      </mc:Choice>
      <mc:Fallback>
        <oleObject progId="Equation.3" shapeId="7171" r:id="rId7"/>
      </mc:Fallback>
    </mc:AlternateContent>
    <mc:AlternateContent xmlns:mc="http://schemas.openxmlformats.org/markup-compatibility/2006">
      <mc:Choice Requires="x14">
        <oleObject progId="Equation.3" shapeId="7172" r:id="rId9">
          <objectPr defaultSize="0" autoPict="0" r:id="rId10">
            <anchor moveWithCells="1" sizeWithCells="1">
              <from>
                <xdr:col>5</xdr:col>
                <xdr:colOff>47625</xdr:colOff>
                <xdr:row>23</xdr:row>
                <xdr:rowOff>19050</xdr:rowOff>
              </from>
              <to>
                <xdr:col>7</xdr:col>
                <xdr:colOff>381000</xdr:colOff>
                <xdr:row>25</xdr:row>
                <xdr:rowOff>142875</xdr:rowOff>
              </to>
            </anchor>
          </objectPr>
        </oleObject>
      </mc:Choice>
      <mc:Fallback>
        <oleObject progId="Equation.3" shapeId="7172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 RR</vt:lpstr>
      <vt:lpstr>Exercício RR</vt:lpstr>
      <vt:lpstr>'Formulário RR'!Area_de_impressao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Usuario</cp:lastModifiedBy>
  <cp:lastPrinted>2020-03-22T15:58:19Z</cp:lastPrinted>
  <dcterms:created xsi:type="dcterms:W3CDTF">2013-05-23T00:36:50Z</dcterms:created>
  <dcterms:modified xsi:type="dcterms:W3CDTF">2020-07-08T01:50:54Z</dcterms:modified>
</cp:coreProperties>
</file>